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Cases" sheetId="2" state="visible" r:id="rId2"/>
    <sheet xmlns:r="http://schemas.openxmlformats.org/officeDocument/2006/relationships" name="Summary" sheetId="3" state="visible" r:id="rId3"/>
    <sheet xmlns:r="http://schemas.openxmlformats.org/officeDocument/2006/relationships" name="Changes vs Previous" sheetId="4" state="visible" r:id="rId4"/>
  </sheets>
  <definedNames>
    <definedName name="_xlnm._FilterDatabase" localSheetId="1" hidden="1">'Test Cases'!$A$1:$Q$284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2" borderId="0" applyAlignment="1" pivotButton="0" quotePrefix="0" xfId="0">
      <alignment horizontal="center" vertical="center" wrapText="1"/>
    </xf>
    <xf numFmtId="0" fontId="0" fillId="0" borderId="1" applyAlignment="1" pivotButton="0" quotePrefix="0" xfId="0">
      <alignment vertical="top" wrapText="1"/>
    </xf>
    <xf numFmtId="9" fontId="0" fillId="0" borderId="0" pivotButton="0" quotePrefix="0" xfId="0"/>
    <xf numFmtId="0" fontId="2" fillId="0" borderId="0" pivotButton="0" quotePrefix="0" xfId="0"/>
    <xf numFmtId="9" fontId="2" fillId="0" borderId="0" pivotButton="0" quotePrefix="0" xfId="0"/>
    <xf numFmtId="0" fontId="3" fillId="2" borderId="0" pivotButton="0" quotePrefix="0" xfId="0"/>
  </cellXfs>
  <cellStyles count="1">
    <cellStyle name="Normal" xfId="0" builtinId="0" hidden="0"/>
  </cellStyles>
  <dxfs count="3">
    <dxf>
      <fill>
        <patternFill patternType="solid">
          <fgColor rgb="00E2EFDA"/>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10" customWidth="1" min="2" max="2"/>
  </cols>
  <sheetData>
    <row r="1">
      <c r="A1" s="1" t="inlineStr">
        <is>
          <t>AAPNA ATS - Master Test Cases</t>
        </is>
      </c>
    </row>
    <row r="2">
      <c r="A2" s="2" t="inlineStr">
        <is>
          <t>Version</t>
        </is>
      </c>
      <c r="B2" s="3" t="inlineStr">
        <is>
          <t>v1.0 - 2026-10-13</t>
        </is>
      </c>
    </row>
    <row r="3">
      <c r="A3" s="2" t="inlineStr">
        <is>
          <t>Purpose</t>
        </is>
      </c>
      <c r="B3" s="3" t="inlineStr">
        <is>
          <t>Single catalogue of functional test cases across all ATS modules. Each case is tagged with how it will run in the Playwright suite (or why it stays manual), so the same sheet serves the demo and the formal acceptance pass.</t>
        </is>
      </c>
    </row>
    <row r="4">
      <c r="A4" s="2" t="inlineStr">
        <is>
          <t>Baseline</t>
        </is>
      </c>
      <c r="B4" s="3" t="inlineStr">
        <is>
          <t>Carries forward all 118 cases from 'ATS_TestCases_HRUpload_to_ZekoHR_Updated 2.xlsx' (2026-08-11 pass). Their previous result is kept in 'Previous Run (2026-08-11)'. Corrections are listed on the 'Changes vs Previous' sheet.</t>
        </is>
      </c>
    </row>
    <row r="5">
      <c r="A5" s="2" t="inlineStr">
        <is>
          <t>Target environment</t>
        </is>
      </c>
      <c r="B5" s="3" t="inlineStr">
        <is>
          <t>Local dev: frontend (Vite :5173) + backend (:5000) + dedicated test database (to be agreed). External services are NOT called.</t>
        </is>
      </c>
    </row>
    <row r="6">
      <c r="A6" s="2" t="inlineStr"/>
      <c r="B6" s="3" t="inlineStr"/>
    </row>
    <row r="7">
      <c r="A7" s="2" t="inlineStr">
        <is>
          <t>Automation legend</t>
        </is>
      </c>
      <c r="B7" s="3" t="inlineStr"/>
    </row>
    <row r="8">
      <c r="A8" s="2" t="inlineStr">
        <is>
          <t>Automated - UI</t>
        </is>
      </c>
      <c r="B8" s="3" t="inlineStr">
        <is>
          <t>Playwright drives the browser; needs only a running app and seeded users.</t>
        </is>
      </c>
    </row>
    <row r="9">
      <c r="A9" s="2" t="inlineStr">
        <is>
          <t>Automated - UI (fixture)</t>
        </is>
      </c>
      <c r="B9" s="3" t="inlineStr">
        <is>
          <t>Playwright UI test that needs a fixture first - e.g. a journey created via API, or a token (scorecard / documents / MRF approval) read from the test DB.</t>
        </is>
      </c>
    </row>
    <row r="10">
      <c r="A10" s="2" t="inlineStr">
        <is>
          <t>Automated - API</t>
        </is>
      </c>
      <c r="B10" s="3" t="inlineStr">
        <is>
          <t>Playwright API request test (security / authorisation checks with no UI).</t>
        </is>
      </c>
    </row>
    <row r="11">
      <c r="A11" s="2" t="inlineStr">
        <is>
          <t>Manual - External</t>
        </is>
      </c>
      <c r="B11" s="3" t="inlineStr">
        <is>
          <t>Depends on an external service (AI parser/search, Zeko, MS Graph mail/Teams/OneDrive, Turnstile). Skipped in the local suite; run manually on staging.</t>
        </is>
      </c>
    </row>
    <row r="12">
      <c r="A12" s="2" t="inlineStr">
        <is>
          <t>Manual - Scheduled job</t>
        </is>
      </c>
      <c r="B12" s="3" t="inlineStr">
        <is>
          <t>Depends on a cron/background job; run manually by invoking the job.</t>
        </is>
      </c>
    </row>
    <row r="13">
      <c r="A13" s="2" t="inlineStr">
        <is>
          <t>Manual - Exploratory</t>
        </is>
      </c>
      <c r="B13" s="3" t="inlineStr">
        <is>
          <t>Open product question - needs a decision before it can have a pass/fail.</t>
        </is>
      </c>
    </row>
    <row r="14">
      <c r="A14" s="2" t="inlineStr"/>
      <c r="B14" s="3" t="inlineStr"/>
    </row>
    <row r="15">
      <c r="A15" s="2" t="inlineStr">
        <is>
          <t>Email checks</t>
        </is>
      </c>
      <c r="B15" s="3" t="inlineStr">
        <is>
          <t>Locally, outcome/notification emails cannot be delivered. Automated cases assert the state change and the 'Emails in this round' log; real inbox delivery is a manual staging check (column 'External Dependency' = MS Graph mail).</t>
        </is>
      </c>
    </row>
    <row r="16">
      <c r="A16" s="2" t="inlineStr">
        <is>
          <t>Priority</t>
        </is>
      </c>
      <c r="B16" s="3" t="inlineStr">
        <is>
          <t>P1 = core flow / security, must pass for the demo. P2 = important validation. P3 = secondary.</t>
        </is>
      </c>
    </row>
    <row r="17">
      <c r="A17" s="2" t="inlineStr">
        <is>
          <t>Status values</t>
        </is>
      </c>
      <c r="B17" s="3" t="inlineStr">
        <is>
          <t>Not Run, Pass, Fail, Blocked, Skipped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4" customWidth="1" min="3" max="3"/>
    <col width="34" customWidth="1" min="4" max="4"/>
    <col width="30" customWidth="1" min="5" max="5"/>
    <col width="44" customWidth="1" min="6" max="6"/>
    <col width="50" customWidth="1" min="7" max="7"/>
    <col width="12" customWidth="1" min="8" max="8"/>
    <col width="8" customWidth="1" min="9" max="9"/>
    <col width="16" customWidth="1" min="10" max="10"/>
    <col width="22" customWidth="1" min="11" max="11"/>
    <col width="26" customWidth="1" min="12" max="12"/>
    <col width="30" customWidth="1" min="13" max="13"/>
    <col width="16" customWidth="1" min="14" max="14"/>
    <col width="10" customWidth="1" min="15" max="15"/>
    <col width="24" customWidth="1" min="16" max="16"/>
    <col width="40" customWidth="1" min="17" max="17"/>
  </cols>
  <sheetData>
    <row r="1" ht="32" customHeight="1">
      <c r="A1" s="4" t="inlineStr">
        <is>
          <t>TC ID</t>
        </is>
      </c>
      <c r="B1" s="4" t="inlineStr">
        <is>
          <t>Module</t>
        </is>
      </c>
      <c r="C1" s="4" t="inlineStr">
        <is>
          <t>Feature</t>
        </is>
      </c>
      <c r="D1" s="4" t="inlineStr">
        <is>
          <t>Test Scenario</t>
        </is>
      </c>
      <c r="E1" s="4" t="inlineStr">
        <is>
          <t>Preconditions / Test Data</t>
        </is>
      </c>
      <c r="F1" s="4" t="inlineStr">
        <is>
          <t>Test Steps</t>
        </is>
      </c>
      <c r="G1" s="4" t="inlineStr">
        <is>
          <t>Expected Result</t>
        </is>
      </c>
      <c r="H1" s="4" t="inlineStr">
        <is>
          <t>Type</t>
        </is>
      </c>
      <c r="I1" s="4" t="inlineStr">
        <is>
          <t>Priority</t>
        </is>
      </c>
      <c r="J1" s="4" t="inlineStr">
        <is>
          <t>Role</t>
        </is>
      </c>
      <c r="K1" s="4" t="inlineStr">
        <is>
          <t>Automation</t>
        </is>
      </c>
      <c r="L1" s="4" t="inlineStr">
        <is>
          <t>External Dependency</t>
        </is>
      </c>
      <c r="M1" s="4" t="inlineStr">
        <is>
          <t>Source</t>
        </is>
      </c>
      <c r="N1" s="4" t="inlineStr">
        <is>
          <t>Previous Run (2026-08-11)</t>
        </is>
      </c>
      <c r="O1" s="4" t="inlineStr">
        <is>
          <t>Status</t>
        </is>
      </c>
      <c r="P1" s="4" t="inlineStr">
        <is>
          <t>Actual Result</t>
        </is>
      </c>
      <c r="Q1" s="4" t="inlineStr">
        <is>
          <t>Remarks</t>
        </is>
      </c>
    </row>
    <row r="2">
      <c r="A2" s="5" t="inlineStr">
        <is>
          <t>HRU-01</t>
        </is>
      </c>
      <c r="B2" s="5" t="inlineStr">
        <is>
          <t>HR Manual Upload</t>
        </is>
      </c>
      <c r="C2" s="5" t="inlineStr">
        <is>
          <t>HR Manual Upload</t>
        </is>
      </c>
      <c r="D2" s="5" t="inlineStr">
        <is>
          <t>Upload a single valid resume (PDF)</t>
        </is>
      </c>
      <c r="E2" s="5" t="inlineStr"/>
      <c r="F2" s="5" t="inlineStr">
        <is>
          <t>1. Go to HR Upload page
2. Upload one .pdf resume with valid name, email, phone
3. Observe Upload Status table</t>
        </is>
      </c>
      <c r="G2" s="5" t="inlineStr">
        <is>
          <t>Job status moves Uploaded -&gt; Processing -&gt; Saved to Database; new row created in candidate DB with correctly parsed fields</t>
        </is>
      </c>
      <c r="H2" s="5" t="inlineStr">
        <is>
          <t>Positive</t>
        </is>
      </c>
      <c r="I2" s="5" t="inlineStr">
        <is>
          <t>P1</t>
        </is>
      </c>
      <c r="J2" s="5" t="inlineStr">
        <is>
          <t>Recruiter</t>
        </is>
      </c>
      <c r="K2" s="5" t="inlineStr">
        <is>
          <t>Manual - External</t>
        </is>
      </c>
      <c r="L2" s="5" t="inlineStr">
        <is>
          <t>AI resume parser (Gemini / OpenRouter / Cohere)</t>
        </is>
      </c>
      <c r="M2" s="5" t="inlineStr">
        <is>
          <t>ATS_TestCases_HRUpload_to_ZekoHR_Updated 2.xlsx</t>
        </is>
      </c>
      <c r="N2" s="5" t="inlineStr">
        <is>
          <t>It Ran fine</t>
        </is>
      </c>
      <c r="O2" s="5" t="inlineStr">
        <is>
          <t>Not Run</t>
        </is>
      </c>
      <c r="P2" s="5" t="inlineStr"/>
      <c r="Q2" s="5" t="inlineStr">
        <is>
          <t>We are having a issues in Total Experinec as this is not updating when we checked in the search candidate page.
Total Experience defect fixed in CHANGES-2026-08-07 #19. Re-test with a CV using 'Jun-2022 - Present', then Search Candidate &gt; View Details.</t>
        </is>
      </c>
    </row>
    <row r="3">
      <c r="A3" s="5" t="inlineStr">
        <is>
          <t>HRU-02</t>
        </is>
      </c>
      <c r="B3" s="5" t="inlineStr">
        <is>
          <t>HR Manual Upload</t>
        </is>
      </c>
      <c r="C3" s="5" t="inlineStr">
        <is>
          <t>HR Manual Upload</t>
        </is>
      </c>
      <c r="D3" s="5" t="inlineStr">
        <is>
          <t>Upload exceeding max file count/size</t>
        </is>
      </c>
      <c r="E3" s="5" t="inlineStr"/>
      <c r="F3" s="5" t="inlineStr">
        <is>
          <t>1. Attempt to upload more than 2 or more files in one request</t>
        </is>
      </c>
      <c r="G3" s="5" t="inlineStr">
        <is>
          <t>Job status moves Uploaded -&gt; Processing -&gt; Saved to Database; new row created in candidate DB with correctly parsed fields</t>
        </is>
      </c>
      <c r="H3" s="5" t="inlineStr">
        <is>
          <t>Positive</t>
        </is>
      </c>
      <c r="I3" s="5" t="inlineStr">
        <is>
          <t>P1</t>
        </is>
      </c>
      <c r="J3" s="5" t="inlineStr">
        <is>
          <t>Recruiter</t>
        </is>
      </c>
      <c r="K3" s="5" t="inlineStr">
        <is>
          <t>Manual - External</t>
        </is>
      </c>
      <c r="L3" s="5" t="inlineStr">
        <is>
          <t>AI resume parser (Gemini / OpenRouter / Cohere)</t>
        </is>
      </c>
      <c r="M3" s="5" t="inlineStr">
        <is>
          <t>ATS_TestCases_HRUpload_to_ZekoHR_Updated 2.xlsx</t>
        </is>
      </c>
      <c r="N3" s="5" t="inlineStr">
        <is>
          <t>It Ran fine</t>
        </is>
      </c>
      <c r="O3" s="5" t="inlineStr">
        <is>
          <t>Not Run</t>
        </is>
      </c>
      <c r="P3" s="5" t="inlineStr"/>
      <c r="Q3" s="5" t="inlineStr">
        <is>
          <t>Same Issues
Scenario title says 'exceeding max count/size' but steps/expected describe a multi-file success. Re-word before next run. Total Experience fix: #19.</t>
        </is>
      </c>
    </row>
    <row r="4">
      <c r="A4" s="5" t="inlineStr">
        <is>
          <t>HRU-03</t>
        </is>
      </c>
      <c r="B4" s="5" t="inlineStr">
        <is>
          <t>HR Manual Upload</t>
        </is>
      </c>
      <c r="C4" s="5" t="inlineStr">
        <is>
          <t>HR Manual Upload</t>
        </is>
      </c>
      <c r="D4" s="5" t="inlineStr">
        <is>
          <t>Duplicate resume detected</t>
        </is>
      </c>
      <c r="E4" s="5" t="inlineStr"/>
      <c r="F4" s="5" t="inlineStr">
        <is>
          <t>1. Re-upload the exact same resume (same email/phone)
2. Observe Upload Status table</t>
        </is>
      </c>
      <c r="G4" s="5" t="inlineStr">
        <is>
          <t>Job status becomes 'Pending Recruiter Review' (Duplicate_Pending_Review); action_required = true; recruiter notified (email + socket)</t>
        </is>
      </c>
      <c r="H4" s="5" t="inlineStr">
        <is>
          <t>Positive</t>
        </is>
      </c>
      <c r="I4" s="5" t="inlineStr">
        <is>
          <t>P1</t>
        </is>
      </c>
      <c r="J4" s="5" t="inlineStr">
        <is>
          <t>Recruiter</t>
        </is>
      </c>
      <c r="K4" s="5" t="inlineStr">
        <is>
          <t>Manual - External</t>
        </is>
      </c>
      <c r="L4" s="5" t="inlineStr">
        <is>
          <t>AI resume parser (Gemini / OpenRouter / Cohere)</t>
        </is>
      </c>
      <c r="M4" s="5" t="inlineStr">
        <is>
          <t>ATS_TestCases_HRUpload_to_ZekoHR_Updated 2.xlsx</t>
        </is>
      </c>
      <c r="N4" s="5" t="inlineStr">
        <is>
          <t>It Ran fine</t>
        </is>
      </c>
      <c r="O4" s="5" t="inlineStr">
        <is>
          <t>Not Run</t>
        </is>
      </c>
      <c r="P4" s="5" t="inlineStr"/>
      <c r="Q4" s="5" t="inlineStr"/>
    </row>
    <row r="5">
      <c r="A5" s="5" t="inlineStr">
        <is>
          <t>HRU-04</t>
        </is>
      </c>
      <c r="B5" s="5" t="inlineStr">
        <is>
          <t>HR Manual Upload</t>
        </is>
      </c>
      <c r="C5" s="5" t="inlineStr">
        <is>
          <t>HR Manual Upload</t>
        </is>
      </c>
      <c r="D5" s="5" t="inlineStr">
        <is>
          <t>Resolve duplicate via Merge</t>
        </is>
      </c>
      <c r="E5" s="5" t="inlineStr"/>
      <c r="F5" s="5" t="inlineStr">
        <is>
          <t>1. Click Review on the duplicate row
2. Click Merge</t>
        </is>
      </c>
      <c r="G5" s="5" t="inlineStr">
        <is>
          <t>Existing candidate record updated with new data; last_action_context = 'duplicate_merge'; modifiedAt refreshed; job removed from pending review</t>
        </is>
      </c>
      <c r="H5" s="5" t="inlineStr">
        <is>
          <t>Positive</t>
        </is>
      </c>
      <c r="I5" s="5" t="inlineStr">
        <is>
          <t>P1</t>
        </is>
      </c>
      <c r="J5" s="5" t="inlineStr">
        <is>
          <t>Recruiter</t>
        </is>
      </c>
      <c r="K5" s="5" t="inlineStr">
        <is>
          <t>Manual - External</t>
        </is>
      </c>
      <c r="L5" s="5" t="inlineStr">
        <is>
          <t>AI resume parser (Gemini / OpenRouter / Cohere)</t>
        </is>
      </c>
      <c r="M5" s="5" t="inlineStr">
        <is>
          <t>ATS_TestCases_HRUpload_to_ZekoHR_Updated 2.xlsx</t>
        </is>
      </c>
      <c r="N5" s="5" t="inlineStr">
        <is>
          <t>It Ran fine</t>
        </is>
      </c>
      <c r="O5" s="5" t="inlineStr">
        <is>
          <t>Not Run</t>
        </is>
      </c>
      <c r="P5" s="5" t="inlineStr"/>
      <c r="Q5" s="5" t="inlineStr"/>
    </row>
    <row r="6">
      <c r="A6" s="5" t="inlineStr">
        <is>
          <t>HRU-05</t>
        </is>
      </c>
      <c r="B6" s="5" t="inlineStr">
        <is>
          <t>HR Manual Upload</t>
        </is>
      </c>
      <c r="C6" s="5" t="inlineStr">
        <is>
          <t>HR Manual Upload</t>
        </is>
      </c>
      <c r="D6" s="5" t="inlineStr">
        <is>
          <t>Resolve duplicate via Cancel</t>
        </is>
      </c>
      <c r="E6" s="5" t="inlineStr"/>
      <c r="F6" s="5" t="inlineStr">
        <is>
          <t>1. Click Review on the duplicate row
2. Click Cancel</t>
        </is>
      </c>
      <c r="G6" s="5" t="inlineStr">
        <is>
          <t>Job status becomes 'Rejected by Recruiter' (Cancelled); original candidate record left untouched; no merge happens</t>
        </is>
      </c>
      <c r="H6" s="5" t="inlineStr">
        <is>
          <t>Positive</t>
        </is>
      </c>
      <c r="I6" s="5" t="inlineStr">
        <is>
          <t>P1</t>
        </is>
      </c>
      <c r="J6" s="5" t="inlineStr">
        <is>
          <t>Recruiter</t>
        </is>
      </c>
      <c r="K6" s="5" t="inlineStr">
        <is>
          <t>Manual - External</t>
        </is>
      </c>
      <c r="L6" s="5" t="inlineStr">
        <is>
          <t>AI resume parser (Gemini / OpenRouter / Cohere)</t>
        </is>
      </c>
      <c r="M6" s="5" t="inlineStr">
        <is>
          <t>ATS_TestCases_HRUpload_to_ZekoHR_Updated 2.xlsx</t>
        </is>
      </c>
      <c r="N6" s="5" t="inlineStr">
        <is>
          <t>It Ran fine</t>
        </is>
      </c>
      <c r="O6" s="5" t="inlineStr">
        <is>
          <t>Not Run</t>
        </is>
      </c>
      <c r="P6" s="5" t="inlineStr"/>
      <c r="Q6" s="5" t="inlineStr"/>
    </row>
    <row r="7">
      <c r="A7" s="5" t="inlineStr">
        <is>
          <t>HRU-06</t>
        </is>
      </c>
      <c r="B7" s="5" t="inlineStr">
        <is>
          <t>HR Manual Upload</t>
        </is>
      </c>
      <c r="C7" s="5" t="inlineStr">
        <is>
          <t>HR Manual Upload</t>
        </is>
      </c>
      <c r="D7" s="5" t="inlineStr">
        <is>
          <t>Resume with no email AND no phone</t>
        </is>
      </c>
      <c r="E7" s="5" t="inlineStr"/>
      <c r="F7" s="5" t="inlineStr">
        <is>
          <t>1. Upload a resume that has no email address and no phone number anywhere in the text</t>
        </is>
      </c>
      <c r="G7" s="5" t="inlineStr">
        <is>
          <t>Job status = 'Rejected by System' (Rejected_By_System); candidate NOT saved to DB; not reprocessable</t>
        </is>
      </c>
      <c r="H7" s="5" t="inlineStr">
        <is>
          <t>Negative</t>
        </is>
      </c>
      <c r="I7" s="5" t="inlineStr">
        <is>
          <t>P1</t>
        </is>
      </c>
      <c r="J7" s="5" t="inlineStr">
        <is>
          <t>Recruiter</t>
        </is>
      </c>
      <c r="K7" s="5" t="inlineStr">
        <is>
          <t>Manual - External</t>
        </is>
      </c>
      <c r="L7" s="5" t="inlineStr">
        <is>
          <t>AI resume parser (Gemini / OpenRouter / Cohere)</t>
        </is>
      </c>
      <c r="M7" s="5" t="inlineStr">
        <is>
          <t>ATS_TestCases_HRUpload_to_ZekoHR_Updated 2.xlsx</t>
        </is>
      </c>
      <c r="N7" s="5" t="inlineStr">
        <is>
          <t>Not executed</t>
        </is>
      </c>
      <c r="O7" s="5" t="inlineStr">
        <is>
          <t>Not Run</t>
        </is>
      </c>
      <c r="P7" s="5" t="inlineStr"/>
      <c r="Q7" s="5" t="inlineStr">
        <is>
          <t>Never executed (no Actual Result in the 2026-08-11 pass).</t>
        </is>
      </c>
    </row>
    <row r="8">
      <c r="A8" s="5" t="inlineStr">
        <is>
          <t>HRU-07</t>
        </is>
      </c>
      <c r="B8" s="5" t="inlineStr">
        <is>
          <t>HR Manual Upload</t>
        </is>
      </c>
      <c r="C8" s="5" t="inlineStr">
        <is>
          <t>HR Manual Upload</t>
        </is>
      </c>
      <c r="D8" s="5" t="inlineStr">
        <is>
          <t>Resume with email but no phone</t>
        </is>
      </c>
      <c r="E8" s="5" t="inlineStr"/>
      <c r="F8" s="5" t="inlineStr">
        <is>
          <t>1. Upload a resume with a valid email but no phone number</t>
        </is>
      </c>
      <c r="G8" s="5" t="inlineStr">
        <is>
          <t>Candidate is saved; 'missing data' collection email/token sent to candidate for the missing field</t>
        </is>
      </c>
      <c r="H8" s="5" t="inlineStr">
        <is>
          <t>Positive</t>
        </is>
      </c>
      <c r="I8" s="5" t="inlineStr">
        <is>
          <t>P1</t>
        </is>
      </c>
      <c r="J8" s="5" t="inlineStr">
        <is>
          <t>Recruiter</t>
        </is>
      </c>
      <c r="K8" s="5" t="inlineStr">
        <is>
          <t>Manual - External</t>
        </is>
      </c>
      <c r="L8" s="5" t="inlineStr">
        <is>
          <t>AI resume parser (Gemini / OpenRouter / Cohere)</t>
        </is>
      </c>
      <c r="M8" s="5" t="inlineStr">
        <is>
          <t>ATS_TestCases_HRUpload_to_ZekoHR_Updated 2.xlsx</t>
        </is>
      </c>
      <c r="N8" s="5" t="inlineStr">
        <is>
          <t>Not executed</t>
        </is>
      </c>
      <c r="O8" s="5" t="inlineStr">
        <is>
          <t>Not Run</t>
        </is>
      </c>
      <c r="P8" s="5" t="inlineStr"/>
      <c r="Q8" s="5" t="inlineStr">
        <is>
          <t>Never executed. Missing-data link also exercised by MJD-01..04.</t>
        </is>
      </c>
    </row>
    <row r="9">
      <c r="A9" s="5" t="inlineStr">
        <is>
          <t>HRU-08</t>
        </is>
      </c>
      <c r="B9" s="5" t="inlineStr">
        <is>
          <t>HR Manual Upload</t>
        </is>
      </c>
      <c r="C9" s="5" t="inlineStr">
        <is>
          <t>HR Manual Upload</t>
        </is>
      </c>
      <c r="D9" s="5" t="inlineStr">
        <is>
          <t>Resume with phone but no email</t>
        </is>
      </c>
      <c r="E9" s="5" t="inlineStr"/>
      <c r="F9" s="5" t="inlineStr">
        <is>
          <t>1. Upload a resume with a valid phone but no email address</t>
        </is>
      </c>
      <c r="G9" s="5" t="inlineStr">
        <is>
          <t>Candidate is saved; 'missing data' collection email/token flow triggered (via alternate contact if available)</t>
        </is>
      </c>
      <c r="H9" s="5" t="inlineStr">
        <is>
          <t>Positive</t>
        </is>
      </c>
      <c r="I9" s="5" t="inlineStr">
        <is>
          <t>P1</t>
        </is>
      </c>
      <c r="J9" s="5" t="inlineStr">
        <is>
          <t>Recruiter</t>
        </is>
      </c>
      <c r="K9" s="5" t="inlineStr">
        <is>
          <t>Manual - External</t>
        </is>
      </c>
      <c r="L9" s="5" t="inlineStr">
        <is>
          <t>AI resume parser (Gemini / OpenRouter / Cohere)</t>
        </is>
      </c>
      <c r="M9" s="5" t="inlineStr">
        <is>
          <t>ATS_TestCases_HRUpload_to_ZekoHR_Updated 2.xlsx</t>
        </is>
      </c>
      <c r="N9" s="5" t="inlineStr">
        <is>
          <t>Not executed</t>
        </is>
      </c>
      <c r="O9" s="5" t="inlineStr">
        <is>
          <t>Not Run</t>
        </is>
      </c>
      <c r="P9" s="5" t="inlineStr"/>
      <c r="Q9" s="5" t="inlineStr">
        <is>
          <t>Never executed.</t>
        </is>
      </c>
    </row>
    <row r="10">
      <c r="A10" s="5" t="inlineStr">
        <is>
          <t>HRU-09</t>
        </is>
      </c>
      <c r="B10" s="5" t="inlineStr">
        <is>
          <t>HR Manual Upload</t>
        </is>
      </c>
      <c r="C10" s="5" t="inlineStr">
        <is>
          <t>HR Manual Upload</t>
        </is>
      </c>
      <c r="D10" s="5" t="inlineStr">
        <is>
          <t>Live dashboard updates without manual refresh</t>
        </is>
      </c>
      <c r="E10" s="5" t="inlineStr"/>
      <c r="F10" s="5" t="inlineStr">
        <is>
          <t>1. Keep Upload Status table open in Tab A
2. Upload a new resume from Tab B
3. Observe Tab A</t>
        </is>
      </c>
      <c r="G10" s="5" t="inlineStr">
        <is>
          <t>Tab A's Upload Status table updates live (socket event) without a manual page refresh</t>
        </is>
      </c>
      <c r="H10" s="5" t="inlineStr">
        <is>
          <t>Positive</t>
        </is>
      </c>
      <c r="I10" s="5" t="inlineStr">
        <is>
          <t>P1</t>
        </is>
      </c>
      <c r="J10" s="5" t="inlineStr">
        <is>
          <t>Recruiter</t>
        </is>
      </c>
      <c r="K10" s="5" t="inlineStr">
        <is>
          <t>Manual - External</t>
        </is>
      </c>
      <c r="L10" s="5" t="inlineStr">
        <is>
          <t>AI resume parser (Gemini / OpenRouter / Cohere)</t>
        </is>
      </c>
      <c r="M10" s="5" t="inlineStr">
        <is>
          <t>ATS_TestCases_HRUpload_to_ZekoHR_Updated 2.xlsx</t>
        </is>
      </c>
      <c r="N10" s="5" t="inlineStr">
        <is>
          <t>Not executed</t>
        </is>
      </c>
      <c r="O10" s="5" t="inlineStr">
        <is>
          <t>Not Run</t>
        </is>
      </c>
      <c r="P10" s="5" t="inlineStr"/>
      <c r="Q10" s="5" t="inlineStr">
        <is>
          <t>Never executed. Live socket update itself is automatable once a job can be produced without the AI parser.</t>
        </is>
      </c>
    </row>
    <row r="11">
      <c r="A11" s="5" t="inlineStr">
        <is>
          <t>SCR-01</t>
        </is>
      </c>
      <c r="B11" s="5" t="inlineStr">
        <is>
          <t>Candidate Screening</t>
        </is>
      </c>
      <c r="C11" s="5" t="inlineStr">
        <is>
          <t>Candidate Screening - Shortlist</t>
        </is>
      </c>
      <c r="D11" s="5" t="inlineStr">
        <is>
          <t>Shortlist a new candidate for an MRF role</t>
        </is>
      </c>
      <c r="E11" s="5" t="inlineStr"/>
      <c r="F11" s="5" t="inlineStr">
        <is>
          <t>1. Go to Candidate Screening, select the MRF role
2. Select the candidate
3. Click Shortlist (send_email = true)</t>
        </is>
      </c>
      <c r="G11" s="5" t="inlineStr">
        <is>
          <t>rpa_shortlisted_candidates row created with pipeline_status = 'shortlisted'; candidate's FinalStatus = 'Stage 0 - Resume Shortlisted'; a pipeline journey is auto-created and candidate appears on Pipeline Tracker at the 'HR Screening (Zeko)' stage; shortlist email sent to candidate (staging inbox)</t>
        </is>
      </c>
      <c r="H11" s="5" t="inlineStr">
        <is>
          <t>Positive</t>
        </is>
      </c>
      <c r="I11" s="5" t="inlineStr">
        <is>
          <t>P1</t>
        </is>
      </c>
      <c r="J11" s="5" t="inlineStr">
        <is>
          <t>Recruiter</t>
        </is>
      </c>
      <c r="K11" s="5" t="inlineStr">
        <is>
          <t>Manual - External</t>
        </is>
      </c>
      <c r="L11" s="5" t="inlineStr">
        <is>
          <t>AI embeddings (Gemini) for JD / keyword search</t>
        </is>
      </c>
      <c r="M11" s="5" t="inlineStr">
        <is>
          <t>ATS_TestCases_HRUpload_to_ZekoHR_Updated 2.xlsx</t>
        </is>
      </c>
      <c r="N11" s="5" t="inlineStr">
        <is>
          <t>It Ran fine</t>
        </is>
      </c>
      <c r="O11" s="5" t="inlineStr">
        <is>
          <t>Not Run</t>
        </is>
      </c>
      <c r="P11" s="5" t="inlineStr"/>
      <c r="Q11" s="5" t="inlineStr"/>
    </row>
    <row r="12">
      <c r="A12" s="5" t="inlineStr">
        <is>
          <t>SCR-02</t>
        </is>
      </c>
      <c r="B12" s="5" t="inlineStr">
        <is>
          <t>Candidate Screening</t>
        </is>
      </c>
      <c r="C12" s="5" t="inlineStr">
        <is>
          <t>Candidate Screening - Shortlist</t>
        </is>
      </c>
      <c r="D12" s="5" t="inlineStr">
        <is>
          <t>Re-shortlist an already-shortlisted candidate (same MRF)</t>
        </is>
      </c>
      <c r="E12" s="5" t="inlineStr"/>
      <c r="F12" s="5" t="inlineStr">
        <is>
          <t>1. Attempt to shortlist the same candidate for the same MRF again</t>
        </is>
      </c>
      <c r="G12" s="5" t="inlineStr">
        <is>
          <t>Action is skipped (no duplicate record, no duplicate email); existing shortlist record is left as-is</t>
        </is>
      </c>
      <c r="H12" s="5" t="inlineStr">
        <is>
          <t>Positive</t>
        </is>
      </c>
      <c r="I12" s="5" t="inlineStr">
        <is>
          <t>P1</t>
        </is>
      </c>
      <c r="J12" s="5" t="inlineStr">
        <is>
          <t>Recruiter</t>
        </is>
      </c>
      <c r="K12" s="5" t="inlineStr">
        <is>
          <t>Manual - External</t>
        </is>
      </c>
      <c r="L12" s="5" t="inlineStr">
        <is>
          <t>AI embeddings (Gemini) for JD / keyword search</t>
        </is>
      </c>
      <c r="M12" s="5" t="inlineStr">
        <is>
          <t>ATS_TestCases_HRUpload_to_ZekoHR_Updated 2.xlsx</t>
        </is>
      </c>
      <c r="N12" s="5" t="inlineStr">
        <is>
          <t>It Ran fine</t>
        </is>
      </c>
      <c r="O12" s="5" t="inlineStr">
        <is>
          <t>Not Run</t>
        </is>
      </c>
      <c r="P12" s="5" t="inlineStr"/>
      <c r="Q12" s="5" t="inlineStr"/>
    </row>
    <row r="13">
      <c r="A13" s="5" t="inlineStr">
        <is>
          <t>SCR-03</t>
        </is>
      </c>
      <c r="B13" s="5" t="inlineStr">
        <is>
          <t>Candidate Screening</t>
        </is>
      </c>
      <c r="C13" s="5" t="inlineStr">
        <is>
          <t>Candidate Screening - Shortlist</t>
        </is>
      </c>
      <c r="D13" s="5" t="inlineStr">
        <is>
          <t>Shortlist via keyword search (no MRF)</t>
        </is>
      </c>
      <c r="E13" s="5" t="inlineStr"/>
      <c r="F13" s="5" t="inlineStr">
        <is>
          <t>1. Run a keyword search in Screening
2. Shortlist a resulting candidate without an MRF context</t>
        </is>
      </c>
      <c r="G13" s="5" t="inlineStr">
        <is>
          <t>rpa_shortlisted_candidates.mrf_id is stored as NULL (not 0); pipeline journey still created at HR Screening (Zeko) stage</t>
        </is>
      </c>
      <c r="H13" s="5" t="inlineStr">
        <is>
          <t>Positive</t>
        </is>
      </c>
      <c r="I13" s="5" t="inlineStr">
        <is>
          <t>P1</t>
        </is>
      </c>
      <c r="J13" s="5" t="inlineStr">
        <is>
          <t>Recruiter</t>
        </is>
      </c>
      <c r="K13" s="5" t="inlineStr">
        <is>
          <t>Manual - External</t>
        </is>
      </c>
      <c r="L13" s="5" t="inlineStr">
        <is>
          <t>AI embeddings (Gemini) for JD / keyword search</t>
        </is>
      </c>
      <c r="M13" s="5" t="inlineStr">
        <is>
          <t>ATS_TestCases_HRUpload_to_ZekoHR_Updated 2.xlsx</t>
        </is>
      </c>
      <c r="N13" s="5" t="inlineStr">
        <is>
          <t>It Ran fine</t>
        </is>
      </c>
      <c r="O13" s="5" t="inlineStr">
        <is>
          <t>Not Run</t>
        </is>
      </c>
      <c r="P13" s="5" t="inlineStr"/>
      <c r="Q13" s="5" t="inlineStr"/>
    </row>
    <row r="14">
      <c r="A14" s="5" t="inlineStr">
        <is>
          <t>SCR-04</t>
        </is>
      </c>
      <c r="B14" s="5" t="inlineStr">
        <is>
          <t>Candidate Screening</t>
        </is>
      </c>
      <c r="C14" s="5" t="inlineStr">
        <is>
          <t>Candidate Screening - Reject</t>
        </is>
      </c>
      <c r="D14" s="5" t="inlineStr">
        <is>
          <t>Reject a candidate with a reason</t>
        </is>
      </c>
      <c r="E14" s="5" t="inlineStr"/>
      <c r="F14" s="5" t="inlineStr">
        <is>
          <t>1. Select the candidate
2. Click Reject, choose/enter a rejection reason
3. Submit</t>
        </is>
      </c>
      <c r="G14" s="5" t="inlineStr">
        <is>
          <t>rpa_shortlisted_candidates row set to pipeline_status = 'rejected' with the reason stored; candidate's FinalStatus = 'Rejected'; rejection email sent to candidate; NO pipeline journey is created (candidate does not appear on Pipeline Tracker)</t>
        </is>
      </c>
      <c r="H14" s="5" t="inlineStr">
        <is>
          <t>Positive</t>
        </is>
      </c>
      <c r="I14" s="5" t="inlineStr">
        <is>
          <t>P1</t>
        </is>
      </c>
      <c r="J14" s="5" t="inlineStr">
        <is>
          <t>Recruiter</t>
        </is>
      </c>
      <c r="K14" s="5" t="inlineStr">
        <is>
          <t>Manual - External</t>
        </is>
      </c>
      <c r="L14" s="5" t="inlineStr">
        <is>
          <t>AI embeddings (Gemini) for JD / keyword search</t>
        </is>
      </c>
      <c r="M14" s="5" t="inlineStr">
        <is>
          <t>ATS_TestCases_HRUpload_to_ZekoHR_Updated 2.xlsx</t>
        </is>
      </c>
      <c r="N14" s="5" t="inlineStr">
        <is>
          <t>It Ran fine</t>
        </is>
      </c>
      <c r="O14" s="5" t="inlineStr">
        <is>
          <t>Not Run</t>
        </is>
      </c>
      <c r="P14" s="5" t="inlineStr"/>
      <c r="Q14" s="5" t="inlineStr"/>
    </row>
    <row r="15">
      <c r="A15" s="5" t="inlineStr">
        <is>
          <t>SCR-05</t>
        </is>
      </c>
      <c r="B15" s="5" t="inlineStr">
        <is>
          <t>Candidate Screening</t>
        </is>
      </c>
      <c r="C15" s="5" t="inlineStr">
        <is>
          <t>Candidate Screening - Reject</t>
        </is>
      </c>
      <c r="D15" s="5" t="inlineStr">
        <is>
          <t>Reject a candidate without providing a reason</t>
        </is>
      </c>
      <c r="E15" s="5" t="inlineStr"/>
      <c r="F15" s="5" t="inlineStr">
        <is>
          <t>1. Click Reject without selecting/entering any reason
2. Submit</t>
        </is>
      </c>
      <c r="G15" s="5" t="inlineStr">
        <is>
          <t>Request is blocked with a validation error: 'A rejection reason is required'</t>
        </is>
      </c>
      <c r="H15" s="5" t="inlineStr">
        <is>
          <t>Negative</t>
        </is>
      </c>
      <c r="I15" s="5" t="inlineStr">
        <is>
          <t>P1</t>
        </is>
      </c>
      <c r="J15" s="5" t="inlineStr">
        <is>
          <t>Recruiter</t>
        </is>
      </c>
      <c r="K15" s="5" t="inlineStr">
        <is>
          <t>Manual - External</t>
        </is>
      </c>
      <c r="L15" s="5" t="inlineStr">
        <is>
          <t>AI embeddings (Gemini) for JD / keyword search</t>
        </is>
      </c>
      <c r="M15" s="5" t="inlineStr">
        <is>
          <t>ATS_TestCases_HRUpload_to_ZekoHR_Updated 2.xlsx</t>
        </is>
      </c>
      <c r="N15" s="5" t="inlineStr">
        <is>
          <t>It Ran fine</t>
        </is>
      </c>
      <c r="O15" s="5" t="inlineStr">
        <is>
          <t>Not Run</t>
        </is>
      </c>
      <c r="P15" s="5" t="inlineStr"/>
      <c r="Q15" s="5" t="inlineStr">
        <is>
          <t>Validation itself is client-side; only reaching the result list needs AI search.</t>
        </is>
      </c>
    </row>
    <row r="16">
      <c r="A16" s="5" t="inlineStr">
        <is>
          <t>SCR-06</t>
        </is>
      </c>
      <c r="B16" s="5" t="inlineStr">
        <is>
          <t>Candidate Screening</t>
        </is>
      </c>
      <c r="C16" s="5" t="inlineStr">
        <is>
          <t>Candidate Screening - Reject</t>
        </is>
      </c>
      <c r="D16" s="5" t="inlineStr">
        <is>
          <t>Reject a previously shortlisted candidate</t>
        </is>
      </c>
      <c r="E16" s="5" t="inlineStr"/>
      <c r="F16" s="5" t="inlineStr">
        <is>
          <t>1. Reject the same candidate for the same MRF, with a reason</t>
        </is>
      </c>
      <c r="G16" s="5" t="inlineStr">
        <is>
          <t>Existing record flips to 'rejected'; the who/when (rejected-by, rejected-at) fields update to reflect this latest action, not the original shortlister</t>
        </is>
      </c>
      <c r="H16" s="5" t="inlineStr">
        <is>
          <t>Positive</t>
        </is>
      </c>
      <c r="I16" s="5" t="inlineStr">
        <is>
          <t>P1</t>
        </is>
      </c>
      <c r="J16" s="5" t="inlineStr">
        <is>
          <t>Recruiter</t>
        </is>
      </c>
      <c r="K16" s="5" t="inlineStr">
        <is>
          <t>Manual - External</t>
        </is>
      </c>
      <c r="L16" s="5" t="inlineStr">
        <is>
          <t>AI embeddings (Gemini) for JD / keyword search</t>
        </is>
      </c>
      <c r="M16" s="5" t="inlineStr">
        <is>
          <t>ATS_TestCases_HRUpload_to_ZekoHR_Updated 2.xlsx</t>
        </is>
      </c>
      <c r="N16" s="5" t="inlineStr">
        <is>
          <t>It Ran fine</t>
        </is>
      </c>
      <c r="O16" s="5" t="inlineStr">
        <is>
          <t>Not Run</t>
        </is>
      </c>
      <c r="P16" s="5" t="inlineStr"/>
      <c r="Q16" s="5" t="inlineStr"/>
    </row>
    <row r="17">
      <c r="A17" s="5" t="inlineStr">
        <is>
          <t>CPIPE-01</t>
        </is>
      </c>
      <c r="B17" s="5" t="inlineStr">
        <is>
          <t>Candidate Pipeline</t>
        </is>
      </c>
      <c r="C17" s="5" t="inlineStr">
        <is>
          <t>Pipeline Entry (Post-Shortlist)</t>
        </is>
      </c>
      <c r="D17" s="5" t="inlineStr">
        <is>
          <t>Shortlisted candidate lands directly on 'HR Screening (Zeko)' stage</t>
        </is>
      </c>
      <c r="E17" s="5" t="inlineStr">
        <is>
          <t>Journey created by shortlisting via API (fixture) because the screening search needs AI embeddings.</t>
        </is>
      </c>
      <c r="F17" s="5" t="inlineStr">
        <is>
          <t>1. Open Pipeline Tracker
2. Locate the candidate's card</t>
        </is>
      </c>
      <c r="G17" s="5" t="inlineStr">
        <is>
          <t>Candidate appears directly under the 'HR Screening (Zeko)' column (there is no separate visible 'Shortlisted' column - that stage is inactive/hidden by design)</t>
        </is>
      </c>
      <c r="H17" s="5" t="inlineStr">
        <is>
          <t>Positive</t>
        </is>
      </c>
      <c r="I17" s="5" t="inlineStr">
        <is>
          <t>P1</t>
        </is>
      </c>
      <c r="J17" s="5" t="inlineStr">
        <is>
          <t>Recruiter</t>
        </is>
      </c>
      <c r="K17" s="5" t="inlineStr">
        <is>
          <t>Automated - UI (fixture)</t>
        </is>
      </c>
      <c r="L17" s="5" t="inlineStr"/>
      <c r="M17" s="5" t="inlineStr">
        <is>
          <t>ATS_TestCases_HRUpload_to_ZekoHR_Updated 2.xlsx</t>
        </is>
      </c>
      <c r="N17" s="5" t="inlineStr">
        <is>
          <t>It Ran fine</t>
        </is>
      </c>
      <c r="O17" s="5" t="inlineStr">
        <is>
          <t>Not Run</t>
        </is>
      </c>
      <c r="P17" s="5" t="inlineStr"/>
      <c r="Q17" s="5" t="inlineStr"/>
    </row>
    <row r="18">
      <c r="A18" s="5" t="inlineStr">
        <is>
          <t>CPIPE-02</t>
        </is>
      </c>
      <c r="B18" s="5" t="inlineStr">
        <is>
          <t>Candidate Pipeline</t>
        </is>
      </c>
      <c r="C18" s="5" t="inlineStr">
        <is>
          <t>Pipeline Entry (Post-Shortlist)</t>
        </is>
      </c>
      <c r="D18" s="5" t="inlineStr">
        <is>
          <t>Drawer shows read-only shortlist context</t>
        </is>
      </c>
      <c r="E18" s="5" t="inlineStr">
        <is>
          <t>Journey created by shortlisting via API (fixture).</t>
        </is>
      </c>
      <c r="F18" s="5" t="inlineStr">
        <is>
          <t>1. Open the candidate's journey drawer</t>
        </is>
      </c>
      <c r="G18" s="5" t="inlineStr">
        <is>
          <t>Drawer header shows shortlisted date, shortlisted by, and recruiter notes as read-only context (not an editable stage)</t>
        </is>
      </c>
      <c r="H18" s="5" t="inlineStr">
        <is>
          <t>Positive</t>
        </is>
      </c>
      <c r="I18" s="5" t="inlineStr">
        <is>
          <t>P1</t>
        </is>
      </c>
      <c r="J18" s="5" t="inlineStr">
        <is>
          <t>Recruiter</t>
        </is>
      </c>
      <c r="K18" s="5" t="inlineStr">
        <is>
          <t>Automated - UI (fixture)</t>
        </is>
      </c>
      <c r="L18" s="5" t="inlineStr"/>
      <c r="M18" s="5" t="inlineStr">
        <is>
          <t>ATS_TestCases_HRUpload_to_ZekoHR_Updated 2.xlsx</t>
        </is>
      </c>
      <c r="N18" s="5" t="inlineStr">
        <is>
          <t>It Ran fine</t>
        </is>
      </c>
      <c r="O18" s="5" t="inlineStr">
        <is>
          <t>Not Run</t>
        </is>
      </c>
      <c r="P18" s="5" t="inlineStr"/>
      <c r="Q18" s="5" t="inlineStr"/>
    </row>
    <row r="19">
      <c r="A19" s="5" t="inlineStr">
        <is>
          <t>ZHR-01</t>
        </is>
      </c>
      <c r="B19" s="5" t="inlineStr">
        <is>
          <t>Zeko HR Screening</t>
        </is>
      </c>
      <c r="C19" s="5" t="inlineStr">
        <is>
          <t>Zeko HR Screening - Assign &amp; Schedule</t>
        </is>
      </c>
      <c r="D19" s="5" t="inlineStr">
        <is>
          <t>Assign candidate to a Zeko job</t>
        </is>
      </c>
      <c r="E19" s="5" t="inlineStr"/>
      <c r="F19" s="5" t="inlineStr">
        <is>
          <t>1. From Screening's Zeko panel, assign the candidate to a Zeko job</t>
        </is>
      </c>
      <c r="G19" s="5" t="inlineStr">
        <is>
          <t>A row is created in the Zeko candidate pipeline table with stage='hr', status='pending'</t>
        </is>
      </c>
      <c r="H19" s="5" t="inlineStr">
        <is>
          <t>Positive</t>
        </is>
      </c>
      <c r="I19" s="5" t="inlineStr">
        <is>
          <t>P2</t>
        </is>
      </c>
      <c r="J19" s="5" t="inlineStr">
        <is>
          <t>Recruiter</t>
        </is>
      </c>
      <c r="K19" s="5" t="inlineStr">
        <is>
          <t>Manual - External</t>
        </is>
      </c>
      <c r="L19" s="5" t="inlineStr">
        <is>
          <t>Zeko API</t>
        </is>
      </c>
      <c r="M19" s="5" t="inlineStr">
        <is>
          <t>ATS_TestCases_HRUpload_to_ZekoHR_Updated 2.xlsx</t>
        </is>
      </c>
      <c r="N19" s="5" t="inlineStr">
        <is>
          <t>It Ran fine</t>
        </is>
      </c>
      <c r="O19" s="5" t="inlineStr">
        <is>
          <t>Not Run</t>
        </is>
      </c>
      <c r="P19" s="5" t="inlineStr"/>
      <c r="Q19" s="5" t="inlineStr"/>
    </row>
    <row r="20">
      <c r="A20" s="5" t="inlineStr">
        <is>
          <t>ZHR-02</t>
        </is>
      </c>
      <c r="B20" s="5" t="inlineStr">
        <is>
          <t>Zeko HR Screening</t>
        </is>
      </c>
      <c r="C20" s="5" t="inlineStr">
        <is>
          <t>Zeko HR Screening - Assign &amp; Schedule</t>
        </is>
      </c>
      <c r="D20" s="5" t="inlineStr">
        <is>
          <t>Schedule the Zeko interview with valid slot</t>
        </is>
      </c>
      <c r="E20" s="5" t="inlineStr"/>
      <c r="F20" s="5" t="inlineStr">
        <is>
          <t>1. Pick a start/end time and schedule the interview</t>
        </is>
      </c>
      <c r="G20" s="5" t="inlineStr">
        <is>
          <t>Zeko schedule API is called; pipeline row status moves to 'sent'; start/end times are rounded to the next 30-minute boundary before being sent to Zeko</t>
        </is>
      </c>
      <c r="H20" s="5" t="inlineStr">
        <is>
          <t>Positive</t>
        </is>
      </c>
      <c r="I20" s="5" t="inlineStr">
        <is>
          <t>P2</t>
        </is>
      </c>
      <c r="J20" s="5" t="inlineStr">
        <is>
          <t>Recruiter</t>
        </is>
      </c>
      <c r="K20" s="5" t="inlineStr">
        <is>
          <t>Manual - External</t>
        </is>
      </c>
      <c r="L20" s="5" t="inlineStr">
        <is>
          <t>Zeko API</t>
        </is>
      </c>
      <c r="M20" s="5" t="inlineStr">
        <is>
          <t>ATS_TestCases_HRUpload_to_ZekoHR_Updated 2.xlsx</t>
        </is>
      </c>
      <c r="N20" s="5" t="inlineStr">
        <is>
          <t>It Ran fine</t>
        </is>
      </c>
      <c r="O20" s="5" t="inlineStr">
        <is>
          <t>Not Run</t>
        </is>
      </c>
      <c r="P20" s="5" t="inlineStr"/>
      <c r="Q20" s="5" t="inlineStr"/>
    </row>
    <row r="21">
      <c r="A21" s="5" t="inlineStr">
        <is>
          <t>ZHR-03</t>
        </is>
      </c>
      <c r="B21" s="5" t="inlineStr">
        <is>
          <t>Zeko HR Screening</t>
        </is>
      </c>
      <c r="C21" s="5" t="inlineStr">
        <is>
          <t>Zeko HR Screening - Assign &amp; Schedule</t>
        </is>
      </c>
      <c r="D21" s="5" t="inlineStr">
        <is>
          <t>Cancel a scheduled interview with a reason</t>
        </is>
      </c>
      <c r="E21" s="5" t="inlineStr"/>
      <c r="F21" s="5" t="inlineStr">
        <is>
          <t>1. Cancel the interview, providing a cancellation reason</t>
        </is>
      </c>
      <c r="G21" s="5" t="inlineStr">
        <is>
          <t>Zeko cancel API is called (best-effort - a Zeko-side failure does not block the local update); pipeline row status = 'cancelled', cancel reason and cancelled-at timestamp stored; cancellation email sent to the candidate</t>
        </is>
      </c>
      <c r="H21" s="5" t="inlineStr">
        <is>
          <t>Positive</t>
        </is>
      </c>
      <c r="I21" s="5" t="inlineStr">
        <is>
          <t>P2</t>
        </is>
      </c>
      <c r="J21" s="5" t="inlineStr">
        <is>
          <t>Recruiter</t>
        </is>
      </c>
      <c r="K21" s="5" t="inlineStr">
        <is>
          <t>Manual - External</t>
        </is>
      </c>
      <c r="L21" s="5" t="inlineStr">
        <is>
          <t>Zeko API</t>
        </is>
      </c>
      <c r="M21" s="5" t="inlineStr">
        <is>
          <t>ATS_TestCases_HRUpload_to_ZekoHR_Updated 2.xlsx</t>
        </is>
      </c>
      <c r="N21" s="5" t="inlineStr">
        <is>
          <t>It Ran fine</t>
        </is>
      </c>
      <c r="O21" s="5" t="inlineStr">
        <is>
          <t>Not Run</t>
        </is>
      </c>
      <c r="P21" s="5" t="inlineStr"/>
      <c r="Q21" s="5" t="inlineStr"/>
    </row>
    <row r="22">
      <c r="A22" s="5" t="inlineStr">
        <is>
          <t>ZHR-04</t>
        </is>
      </c>
      <c r="B22" s="5" t="inlineStr">
        <is>
          <t>Zeko HR Screening</t>
        </is>
      </c>
      <c r="C22" s="5" t="inlineStr">
        <is>
          <t>Zeko HR Screening - Assign &amp; Schedule</t>
        </is>
      </c>
      <c r="D22" s="5" t="inlineStr">
        <is>
          <t>Cancel an interview without a reason</t>
        </is>
      </c>
      <c r="E22" s="5" t="inlineStr"/>
      <c r="F22" s="5" t="inlineStr">
        <is>
          <t>1. Attempt to cancel without entering a reason</t>
        </is>
      </c>
      <c r="G22" s="5" t="inlineStr">
        <is>
          <t>Cancellation succeeds without a reason - the reason field is optional. Pipeline row status = 'cancelled'.</t>
        </is>
      </c>
      <c r="H22" s="5" t="inlineStr">
        <is>
          <t>Positive</t>
        </is>
      </c>
      <c r="I22" s="5" t="inlineStr">
        <is>
          <t>P2</t>
        </is>
      </c>
      <c r="J22" s="5" t="inlineStr">
        <is>
          <t>Recruiter</t>
        </is>
      </c>
      <c r="K22" s="5" t="inlineStr">
        <is>
          <t>Manual - External</t>
        </is>
      </c>
      <c r="L22" s="5" t="inlineStr">
        <is>
          <t>Zeko API</t>
        </is>
      </c>
      <c r="M22" s="5" t="inlineStr">
        <is>
          <t>ATS_TestCases_HRUpload_to_ZekoHR_Updated 2.xlsx</t>
        </is>
      </c>
      <c r="N22" s="5" t="inlineStr">
        <is>
          <t>It Ran fine</t>
        </is>
      </c>
      <c r="O22" s="5" t="inlineStr">
        <is>
          <t>Not Run</t>
        </is>
      </c>
      <c r="P22" s="5" t="inlineStr"/>
      <c r="Q22" s="5" t="inlineStr">
        <is>
          <t>Expected result clarified (was 'As it's Optional').</t>
        </is>
      </c>
    </row>
    <row r="23">
      <c r="A23" s="5" t="inlineStr">
        <is>
          <t>ZHR-05</t>
        </is>
      </c>
      <c r="B23" s="5" t="inlineStr">
        <is>
          <t>Zeko HR Screening</t>
        </is>
      </c>
      <c r="C23" s="5" t="inlineStr">
        <is>
          <t>Zeko HR Screening - Results &amp; Scores</t>
        </is>
      </c>
      <c r="D23" s="5" t="inlineStr">
        <is>
          <t>Result auto-fetch after interview window ends</t>
        </is>
      </c>
      <c r="E23" s="5" t="inlineStr"/>
      <c r="F23" s="5" t="inlineStr">
        <is>
          <t>1. Wait for / trigger the Zeko results-fetch job (hourly cron)</t>
        </is>
      </c>
      <c r="G23" s="5" t="inlineStr">
        <is>
          <t>A result row is created with overall/technical/communication scores and report link; the Zeko pipeline row status moves to 'completed'; scores are written back to the candidate's profile (matched by candidate email)</t>
        </is>
      </c>
      <c r="H23" s="5" t="inlineStr">
        <is>
          <t>Positive</t>
        </is>
      </c>
      <c r="I23" s="5" t="inlineStr">
        <is>
          <t>P2</t>
        </is>
      </c>
      <c r="J23" s="5" t="inlineStr">
        <is>
          <t>Recruiter</t>
        </is>
      </c>
      <c r="K23" s="5" t="inlineStr">
        <is>
          <t>Manual - Scheduled job</t>
        </is>
      </c>
      <c r="L23" s="5" t="inlineStr">
        <is>
          <t>Zeko API</t>
        </is>
      </c>
      <c r="M23" s="5" t="inlineStr">
        <is>
          <t>ATS_TestCases_HRUpload_to_ZekoHR_Updated 2.xlsx</t>
        </is>
      </c>
      <c r="N23" s="5" t="inlineStr">
        <is>
          <t>It Ran fine</t>
        </is>
      </c>
      <c r="O23" s="5" t="inlineStr">
        <is>
          <t>Not Run</t>
        </is>
      </c>
      <c r="P23" s="5" t="inlineStr"/>
      <c r="Q23" s="5" t="inlineStr"/>
    </row>
    <row r="24">
      <c r="A24" s="5" t="inlineStr">
        <is>
          <t>ZHR-06</t>
        </is>
      </c>
      <c r="B24" s="5" t="inlineStr">
        <is>
          <t>Zeko HR Screening</t>
        </is>
      </c>
      <c r="C24" s="5" t="inlineStr">
        <is>
          <t>Zeko HR Screening - Results &amp; Scores</t>
        </is>
      </c>
      <c r="D24" s="5" t="inlineStr">
        <is>
          <t>Result fetch when Zeko has no data yet</t>
        </is>
      </c>
      <c r="E24" s="5" t="inlineStr"/>
      <c r="F24" s="5" t="inlineStr">
        <is>
          <t>1. Trigger the results-fetch job</t>
        </is>
      </c>
      <c r="G24" s="5" t="inlineStr">
        <is>
          <t>Row is skipped this run (remains status='sent'); no error thrown; will be retried on the next scheduled run</t>
        </is>
      </c>
      <c r="H24" s="5" t="inlineStr">
        <is>
          <t>Positive</t>
        </is>
      </c>
      <c r="I24" s="5" t="inlineStr">
        <is>
          <t>P2</t>
        </is>
      </c>
      <c r="J24" s="5" t="inlineStr">
        <is>
          <t>Recruiter</t>
        </is>
      </c>
      <c r="K24" s="5" t="inlineStr">
        <is>
          <t>Manual - Scheduled job</t>
        </is>
      </c>
      <c r="L24" s="5" t="inlineStr">
        <is>
          <t>Zeko API</t>
        </is>
      </c>
      <c r="M24" s="5" t="inlineStr">
        <is>
          <t>ATS_TestCases_HRUpload_to_ZekoHR_Updated 2.xlsx</t>
        </is>
      </c>
      <c r="N24" s="5" t="inlineStr">
        <is>
          <t>Not executed</t>
        </is>
      </c>
      <c r="O24" s="5" t="inlineStr">
        <is>
          <t>Not Run</t>
        </is>
      </c>
      <c r="P24" s="5" t="inlineStr"/>
      <c r="Q24" s="5" t="inlineStr">
        <is>
          <t>Never executed.</t>
        </is>
      </c>
    </row>
    <row r="25">
      <c r="A25" s="5" t="inlineStr">
        <is>
          <t>OUT-01</t>
        </is>
      </c>
      <c r="B25" s="5" t="inlineStr">
        <is>
          <t>Candidate Pipeline</t>
        </is>
      </c>
      <c r="C25" s="5" t="inlineStr">
        <is>
          <t>Zeko HR Screening - Outcome (Approve/Reject/Hold)</t>
        </is>
      </c>
      <c r="D25" s="5" t="inlineStr">
        <is>
          <t>Approve candidate at HR Screening (Zeko) stage</t>
        </is>
      </c>
      <c r="E25" s="5" t="inlineStr"/>
      <c r="F25" s="5" t="inlineStr">
        <is>
          <t>1. Open the candidate's journey drawer
2. Record outcome = Approved</t>
        </is>
      </c>
      <c r="G25" s="5" t="inlineStr">
        <is>
          <t>Candidate auto-advances to the next active stage in the pipeline, 'IQ / Tech Assessment'; a stage-entered event is logged for the new stage; an outcome event is logged for HR Screening (Zeko); candidate's status label updates to 'HR Screening (Zeko) Approved'; approval outcome email sent</t>
        </is>
      </c>
      <c r="H25" s="5" t="inlineStr">
        <is>
          <t>Positive</t>
        </is>
      </c>
      <c r="I25" s="5" t="inlineStr">
        <is>
          <t>P1</t>
        </is>
      </c>
      <c r="J25" s="5" t="inlineStr">
        <is>
          <t>Recruiter</t>
        </is>
      </c>
      <c r="K25" s="5" t="inlineStr">
        <is>
          <t>Automated - UI (fixture)</t>
        </is>
      </c>
      <c r="L25" s="5" t="inlineStr">
        <is>
          <t>MS Graph mail (delivery check only)</t>
        </is>
      </c>
      <c r="M25" s="5" t="inlineStr">
        <is>
          <t>ATS_TestCases_HRUpload_to_ZekoHR_Updated 2.xlsx</t>
        </is>
      </c>
      <c r="N25" s="5" t="inlineStr">
        <is>
          <t>It Ran fine</t>
        </is>
      </c>
      <c r="O25" s="5" t="inlineStr">
        <is>
          <t>Not Run</t>
        </is>
      </c>
      <c r="P25" s="5" t="inlineStr"/>
      <c r="Q25" s="5" t="inlineStr">
        <is>
          <t>Locally the 'Emails in this round' log reads 'failed' (no Graph). Inbox delivery is a manual check on staging.</t>
        </is>
      </c>
    </row>
    <row r="26">
      <c r="A26" s="5" t="inlineStr">
        <is>
          <t>OUT-02</t>
        </is>
      </c>
      <c r="B26" s="5" t="inlineStr">
        <is>
          <t>Candidate Pipeline</t>
        </is>
      </c>
      <c r="C26" s="5" t="inlineStr">
        <is>
          <t>Zeko HR Screening - Outcome (Approve/Reject/Hold)</t>
        </is>
      </c>
      <c r="D26" s="5" t="inlineStr">
        <is>
          <t>Reject candidate at HR Screening (Zeko) stage</t>
        </is>
      </c>
      <c r="E26" s="5" t="inlineStr"/>
      <c r="F26" s="5" t="inlineStr">
        <is>
          <t>1. Record outcome = Rejected, with a valid reason</t>
        </is>
      </c>
      <c r="G26" s="5" t="inlineStr">
        <is>
          <t>Candidate stays at HR Screening (Zeko) stage (no advance); stage status = 'rejected'; status label = 'HR Screening (Zeko) Rejected'; legacy shortlist status set to 'rejected'; rejection outcome email sent</t>
        </is>
      </c>
      <c r="H26" s="5" t="inlineStr">
        <is>
          <t>Positive</t>
        </is>
      </c>
      <c r="I26" s="5" t="inlineStr">
        <is>
          <t>P1</t>
        </is>
      </c>
      <c r="J26" s="5" t="inlineStr">
        <is>
          <t>Recruiter</t>
        </is>
      </c>
      <c r="K26" s="5" t="inlineStr">
        <is>
          <t>Automated - UI (fixture)</t>
        </is>
      </c>
      <c r="L26" s="5" t="inlineStr">
        <is>
          <t>MS Graph mail (delivery check only)</t>
        </is>
      </c>
      <c r="M26" s="5" t="inlineStr">
        <is>
          <t>ATS_TestCases_HRUpload_to_ZekoHR_Updated 2.xlsx</t>
        </is>
      </c>
      <c r="N26" s="5" t="inlineStr">
        <is>
          <t>It Ran fine</t>
        </is>
      </c>
      <c r="O26" s="5" t="inlineStr">
        <is>
          <t>Not Run</t>
        </is>
      </c>
      <c r="P26" s="5" t="inlineStr"/>
      <c r="Q26" s="5" t="inlineStr"/>
    </row>
    <row r="27">
      <c r="A27" s="5" t="inlineStr">
        <is>
          <t>OUT-03</t>
        </is>
      </c>
      <c r="B27" s="5" t="inlineStr">
        <is>
          <t>Candidate Pipeline</t>
        </is>
      </c>
      <c r="C27" s="5" t="inlineStr">
        <is>
          <t>Zeko HR Screening - Outcome (Approve/Reject/Hold)</t>
        </is>
      </c>
      <c r="D27" s="5" t="inlineStr">
        <is>
          <t>Reject without a reason</t>
        </is>
      </c>
      <c r="E27" s="5" t="inlineStr"/>
      <c r="F27" s="5" t="inlineStr">
        <is>
          <t>1. Attempt to record outcome = Rejected with no reason_id and no free-text reason</t>
        </is>
      </c>
      <c r="G27" s="5" t="inlineStr">
        <is>
          <t>Request blocked: 'A reason is required for Reject/Hold outcomes'</t>
        </is>
      </c>
      <c r="H27" s="5" t="inlineStr">
        <is>
          <t>Negative</t>
        </is>
      </c>
      <c r="I27" s="5" t="inlineStr">
        <is>
          <t>P1</t>
        </is>
      </c>
      <c r="J27" s="5" t="inlineStr">
        <is>
          <t>Recruiter</t>
        </is>
      </c>
      <c r="K27" s="5" t="inlineStr">
        <is>
          <t>Automated - UI (fixture)</t>
        </is>
      </c>
      <c r="L27" s="5" t="inlineStr">
        <is>
          <t>MS Graph mail (delivery check only)</t>
        </is>
      </c>
      <c r="M27" s="5" t="inlineStr">
        <is>
          <t>ATS_TestCases_HRUpload_to_ZekoHR_Updated 2.xlsx</t>
        </is>
      </c>
      <c r="N27" s="5" t="inlineStr">
        <is>
          <t>It Ran fine</t>
        </is>
      </c>
      <c r="O27" s="5" t="inlineStr">
        <is>
          <t>Not Run</t>
        </is>
      </c>
      <c r="P27" s="5" t="inlineStr"/>
      <c r="Q27" s="5" t="inlineStr"/>
    </row>
    <row r="28">
      <c r="A28" s="5" t="inlineStr">
        <is>
          <t>OUT-04</t>
        </is>
      </c>
      <c r="B28" s="5" t="inlineStr">
        <is>
          <t>Candidate Pipeline</t>
        </is>
      </c>
      <c r="C28" s="5" t="inlineStr">
        <is>
          <t>Zeko HR Screening - Outcome (Approve/Reject/Hold)</t>
        </is>
      </c>
      <c r="D28" s="5" t="inlineStr">
        <is>
          <t>Reject with 'Other reasons' but no free text</t>
        </is>
      </c>
      <c r="E28" s="5" t="inlineStr"/>
      <c r="F28" s="5" t="inlineStr">
        <is>
          <t>1. Select the 'Other reasons' option as the reject reason
2. Submit without typing free-text</t>
        </is>
      </c>
      <c r="G28" s="5" t="inlineStr">
        <is>
          <t>Request blocked: 'Free-text reason is required when "Other reasons" is selected'</t>
        </is>
      </c>
      <c r="H28" s="5" t="inlineStr">
        <is>
          <t>Negative</t>
        </is>
      </c>
      <c r="I28" s="5" t="inlineStr">
        <is>
          <t>P1</t>
        </is>
      </c>
      <c r="J28" s="5" t="inlineStr">
        <is>
          <t>Recruiter</t>
        </is>
      </c>
      <c r="K28" s="5" t="inlineStr">
        <is>
          <t>Automated - UI (fixture)</t>
        </is>
      </c>
      <c r="L28" s="5" t="inlineStr">
        <is>
          <t>MS Graph mail (delivery check only)</t>
        </is>
      </c>
      <c r="M28" s="5" t="inlineStr">
        <is>
          <t>ATS_TestCases_HRUpload_to_ZekoHR_Updated 2.xlsx</t>
        </is>
      </c>
      <c r="N28" s="5" t="inlineStr">
        <is>
          <t>It Ran fine</t>
        </is>
      </c>
      <c r="O28" s="5" t="inlineStr">
        <is>
          <t>Not Run</t>
        </is>
      </c>
      <c r="P28" s="5" t="inlineStr"/>
      <c r="Q28" s="5" t="inlineStr"/>
    </row>
    <row r="29">
      <c r="A29" s="5" t="inlineStr">
        <is>
          <t>OUT-05</t>
        </is>
      </c>
      <c r="B29" s="5" t="inlineStr">
        <is>
          <t>Candidate Pipeline</t>
        </is>
      </c>
      <c r="C29" s="5" t="inlineStr">
        <is>
          <t>Zeko HR Screening - Outcome (Approve/Reject/Hold)</t>
        </is>
      </c>
      <c r="D29" s="5" t="inlineStr">
        <is>
          <t>Hold candidate at HR Screening (Zeko) stage</t>
        </is>
      </c>
      <c r="E29" s="5" t="inlineStr"/>
      <c r="F29" s="5" t="inlineStr">
        <is>
          <t>1. Record outcome = Hold, with a valid reason</t>
        </is>
      </c>
      <c r="G29" s="5" t="inlineStr">
        <is>
          <t>Candidate stays at HR Screening (Zeko) stage; stage status = 'hold'; status label = 'HR Screening (Zeko) On Hold'; legacy shortlist status set to 'on_hold'; no advance, no rejection,  on-hold outcome email sent with valid reason</t>
        </is>
      </c>
      <c r="H29" s="5" t="inlineStr">
        <is>
          <t>Positive</t>
        </is>
      </c>
      <c r="I29" s="5" t="inlineStr">
        <is>
          <t>P1</t>
        </is>
      </c>
      <c r="J29" s="5" t="inlineStr">
        <is>
          <t>Recruiter</t>
        </is>
      </c>
      <c r="K29" s="5" t="inlineStr">
        <is>
          <t>Automated - UI (fixture)</t>
        </is>
      </c>
      <c r="L29" s="5" t="inlineStr">
        <is>
          <t>MS Graph mail (delivery check only)</t>
        </is>
      </c>
      <c r="M29" s="5" t="inlineStr">
        <is>
          <t>ATS_TestCases_HRUpload_to_ZekoHR_Updated 2.xlsx</t>
        </is>
      </c>
      <c r="N29" s="5" t="inlineStr">
        <is>
          <t>It Ran fine</t>
        </is>
      </c>
      <c r="O29" s="5" t="inlineStr">
        <is>
          <t>Not Run</t>
        </is>
      </c>
      <c r="P29" s="5" t="inlineStr"/>
      <c r="Q29" s="5" t="inlineStr"/>
    </row>
    <row r="30">
      <c r="A30" s="5" t="inlineStr">
        <is>
          <t>OUT-06</t>
        </is>
      </c>
      <c r="B30" s="5" t="inlineStr">
        <is>
          <t>Candidate Pipeline</t>
        </is>
      </c>
      <c r="C30" s="5" t="inlineStr">
        <is>
          <t>Zeko HR Screening - Outcome (Approve/Reject/Hold)</t>
        </is>
      </c>
      <c r="D30" s="5" t="inlineStr">
        <is>
          <t>Preview outcome email before sending</t>
        </is>
      </c>
      <c r="E30" s="5" t="inlineStr"/>
      <c r="F30" s="5" t="inlineStr">
        <is>
          <t>1. Open outcome preview for outcome = Approved (before actually submitting it)</t>
        </is>
      </c>
      <c r="G30" s="5" t="inlineStr">
        <is>
          <t>Returns the compiled subject/body for review; no email is actually sent; no change to candidate's stage/status</t>
        </is>
      </c>
      <c r="H30" s="5" t="inlineStr">
        <is>
          <t>Positive</t>
        </is>
      </c>
      <c r="I30" s="5" t="inlineStr">
        <is>
          <t>P1</t>
        </is>
      </c>
      <c r="J30" s="5" t="inlineStr">
        <is>
          <t>Recruiter</t>
        </is>
      </c>
      <c r="K30" s="5" t="inlineStr">
        <is>
          <t>Automated - UI (fixture)</t>
        </is>
      </c>
      <c r="L30" s="5" t="inlineStr"/>
      <c r="M30" s="5" t="inlineStr">
        <is>
          <t>ATS_TestCases_HRUpload_to_ZekoHR_Updated 2.xlsx</t>
        </is>
      </c>
      <c r="N30" s="5" t="inlineStr">
        <is>
          <t>It Ran fine</t>
        </is>
      </c>
      <c r="O30" s="5" t="inlineStr">
        <is>
          <t>Not Run</t>
        </is>
      </c>
      <c r="P30" s="5" t="inlineStr"/>
      <c r="Q30" s="5" t="inlineStr"/>
    </row>
    <row r="31">
      <c r="A31" s="5" t="inlineStr">
        <is>
          <t>POST-01</t>
        </is>
      </c>
      <c r="B31" s="5" t="inlineStr">
        <is>
          <t>Candidate Pipeline</t>
        </is>
      </c>
      <c r="C31" s="5" t="inlineStr">
        <is>
          <t>Post Zeko HR Approval</t>
        </is>
      </c>
      <c r="D31" s="5" t="inlineStr">
        <is>
          <t>Candidate appears on 'IQ / Tech Assessment' column after HR Screening approval</t>
        </is>
      </c>
      <c r="E31" s="5" t="inlineStr"/>
      <c r="F31" s="5" t="inlineStr">
        <is>
          <t>1. Open Pipeline Tracker board</t>
        </is>
      </c>
      <c r="G31" s="5" t="inlineStr">
        <is>
          <t>Candidate's card now sits under the 'IQ / Tech Assessment' column, which is a plain manual stage (no Zeko/API integration) - Approve/Reject/Hold work the same as any standard round</t>
        </is>
      </c>
      <c r="H31" s="5" t="inlineStr">
        <is>
          <t>Positive</t>
        </is>
      </c>
      <c r="I31" s="5" t="inlineStr">
        <is>
          <t>P2</t>
        </is>
      </c>
      <c r="J31" s="5" t="inlineStr">
        <is>
          <t>Recruiter</t>
        </is>
      </c>
      <c r="K31" s="5" t="inlineStr">
        <is>
          <t>Automated - UI (fixture)</t>
        </is>
      </c>
      <c r="L31" s="5" t="inlineStr"/>
      <c r="M31" s="5" t="inlineStr">
        <is>
          <t>ATS_TestCases_HRUpload_to_ZekoHR_Updated 2.xlsx</t>
        </is>
      </c>
      <c r="N31" s="5" t="inlineStr">
        <is>
          <t>It Ran fine</t>
        </is>
      </c>
      <c r="O31" s="5" t="inlineStr">
        <is>
          <t>Not Run</t>
        </is>
      </c>
      <c r="P31" s="5" t="inlineStr"/>
      <c r="Q31" s="5" t="inlineStr"/>
    </row>
    <row r="32">
      <c r="A32" s="5" t="inlineStr">
        <is>
          <t>POST-02</t>
        </is>
      </c>
      <c r="B32" s="5" t="inlineStr">
        <is>
          <t>Candidate Pipeline</t>
        </is>
      </c>
      <c r="C32" s="5" t="inlineStr">
        <is>
          <t>Post Zeko HR Approval</t>
        </is>
      </c>
      <c r="D32" s="5" t="inlineStr">
        <is>
          <t>Journey history retains full HR Screening (Zeko) trail</t>
        </is>
      </c>
      <c r="E32" s="5" t="inlineStr"/>
      <c r="F32" s="5" t="inlineStr">
        <is>
          <t>1. Open the candidate's journey drawer
2. Review stage history</t>
        </is>
      </c>
      <c r="G32" s="5" t="inlineStr">
        <is>
          <t>Drawer shows the full chronological event trail: entered HR Screening (Zeko) -&gt; outcome Approved -&gt; entered IQ / Tech Assessment, each timestamped with the acting user</t>
        </is>
      </c>
      <c r="H32" s="5" t="inlineStr">
        <is>
          <t>Positive</t>
        </is>
      </c>
      <c r="I32" s="5" t="inlineStr">
        <is>
          <t>P2</t>
        </is>
      </c>
      <c r="J32" s="5" t="inlineStr">
        <is>
          <t>Recruiter</t>
        </is>
      </c>
      <c r="K32" s="5" t="inlineStr">
        <is>
          <t>Automated - UI (fixture)</t>
        </is>
      </c>
      <c r="L32" s="5" t="inlineStr"/>
      <c r="M32" s="5" t="inlineStr">
        <is>
          <t>ATS_TestCases_HRUpload_to_ZekoHR_Updated 2.xlsx</t>
        </is>
      </c>
      <c r="N32" s="5" t="inlineStr">
        <is>
          <t>It Ran fine</t>
        </is>
      </c>
      <c r="O32" s="5" t="inlineStr">
        <is>
          <t>Not Run</t>
        </is>
      </c>
      <c r="P32" s="5" t="inlineStr"/>
      <c r="Q32" s="5" t="inlineStr"/>
    </row>
    <row r="33">
      <c r="A33" s="5" t="inlineStr">
        <is>
          <t>ASM-01</t>
        </is>
      </c>
      <c r="B33" s="5" t="inlineStr">
        <is>
          <t>Candidate Pipeline</t>
        </is>
      </c>
      <c r="C33" s="5" t="inlineStr">
        <is>
          <t>IQ / Tech Assessment</t>
        </is>
      </c>
      <c r="D33" s="5" t="inlineStr">
        <is>
          <t>Candidate enters stage</t>
        </is>
      </c>
      <c r="E33" s="5" t="inlineStr"/>
      <c r="F33" s="5" t="inlineStr">
        <is>
          <t>Approve at HR Screening (Zeko)</t>
        </is>
      </c>
      <c r="G33" s="5" t="inlineStr">
        <is>
          <t>Candidate card moves to "IQ / Tech Assessment" column</t>
        </is>
      </c>
      <c r="H33" s="5" t="inlineStr">
        <is>
          <t>Positive</t>
        </is>
      </c>
      <c r="I33" s="5" t="inlineStr">
        <is>
          <t>P1</t>
        </is>
      </c>
      <c r="J33" s="5" t="inlineStr">
        <is>
          <t>Recruiter</t>
        </is>
      </c>
      <c r="K33" s="5" t="inlineStr">
        <is>
          <t>Automated - UI (fixture)</t>
        </is>
      </c>
      <c r="L33" s="5" t="inlineStr">
        <is>
          <t>MS Graph mail (delivery check only)</t>
        </is>
      </c>
      <c r="M33" s="5" t="inlineStr">
        <is>
          <t>ATS_TestCases_HRUpload_to_ZekoHR_Updated 2.xlsx</t>
        </is>
      </c>
      <c r="N33" s="5" t="inlineStr">
        <is>
          <t>It Ran fine</t>
        </is>
      </c>
      <c r="O33" s="5" t="inlineStr">
        <is>
          <t>Not Run</t>
        </is>
      </c>
      <c r="P33" s="5" t="inlineStr"/>
      <c r="Q33" s="5" t="inlineStr"/>
    </row>
    <row r="34">
      <c r="A34" s="5" t="inlineStr">
        <is>
          <t>ASM-02</t>
        </is>
      </c>
      <c r="B34" s="5" t="inlineStr">
        <is>
          <t>Candidate Pipeline</t>
        </is>
      </c>
      <c r="C34" s="5" t="inlineStr">
        <is>
          <t>IQ / Tech Assessment</t>
        </is>
      </c>
      <c r="D34" s="5" t="inlineStr">
        <is>
          <t>Send Evalground Invite</t>
        </is>
      </c>
      <c r="E34" s="5" t="inlineStr"/>
      <c r="F34" s="5" t="inlineStr">
        <is>
          <t>1. Open the candidate's journey drawer
2. Send Evalground Invite</t>
        </is>
      </c>
      <c r="G34" s="5" t="inlineStr">
        <is>
          <t>Shows a popup as email body content where user have to add the evalground link and then Send Invite</t>
        </is>
      </c>
      <c r="H34" s="5" t="inlineStr">
        <is>
          <t>Positive</t>
        </is>
      </c>
      <c r="I34" s="5" t="inlineStr">
        <is>
          <t>P1</t>
        </is>
      </c>
      <c r="J34" s="5" t="inlineStr">
        <is>
          <t>Recruiter</t>
        </is>
      </c>
      <c r="K34" s="5" t="inlineStr">
        <is>
          <t>Automated - UI (fixture)</t>
        </is>
      </c>
      <c r="L34" s="5" t="inlineStr">
        <is>
          <t>MS Graph mail (delivery check only)</t>
        </is>
      </c>
      <c r="M34" s="5" t="inlineStr">
        <is>
          <t>ATS_TestCases_HRUpload_to_ZekoHR_Updated 2.xlsx</t>
        </is>
      </c>
      <c r="N34" s="5" t="inlineStr">
        <is>
          <t>It Ran fine</t>
        </is>
      </c>
      <c r="O34" s="5" t="inlineStr">
        <is>
          <t>Not Run</t>
        </is>
      </c>
      <c r="P34" s="5" t="inlineStr"/>
      <c r="Q34" s="5" t="inlineStr">
        <is>
          <t>Modal + link entry automated; inbox delivery manual.</t>
        </is>
      </c>
    </row>
    <row r="35">
      <c r="A35" s="5" t="inlineStr">
        <is>
          <t>ASM-03</t>
        </is>
      </c>
      <c r="B35" s="5" t="inlineStr">
        <is>
          <t>Candidate Pipeline</t>
        </is>
      </c>
      <c r="C35" s="5" t="inlineStr">
        <is>
          <t>IQ / Tech Assessment</t>
        </is>
      </c>
      <c r="D35" s="5" t="inlineStr">
        <is>
          <t>Re- Invite Send Evalground Invite</t>
        </is>
      </c>
      <c r="E35" s="5" t="inlineStr"/>
      <c r="F35" s="5" t="inlineStr">
        <is>
          <t>1. Open the candidate's journey drawer
2. Re-Invite</t>
        </is>
      </c>
      <c r="G35" s="5" t="inlineStr">
        <is>
          <t>Again Shows a popup as email body content where user have to add the evalground link and then Send Invite</t>
        </is>
      </c>
      <c r="H35" s="5" t="inlineStr">
        <is>
          <t>Positive</t>
        </is>
      </c>
      <c r="I35" s="5" t="inlineStr">
        <is>
          <t>P1</t>
        </is>
      </c>
      <c r="J35" s="5" t="inlineStr">
        <is>
          <t>Recruiter</t>
        </is>
      </c>
      <c r="K35" s="5" t="inlineStr">
        <is>
          <t>Automated - UI (fixture)</t>
        </is>
      </c>
      <c r="L35" s="5" t="inlineStr">
        <is>
          <t>MS Graph mail (delivery check only)</t>
        </is>
      </c>
      <c r="M35" s="5" t="inlineStr">
        <is>
          <t>ATS_TestCases_HRUpload_to_ZekoHR_Updated 2.xlsx</t>
        </is>
      </c>
      <c r="N35" s="5" t="inlineStr">
        <is>
          <t>It Ran fine</t>
        </is>
      </c>
      <c r="O35" s="5" t="inlineStr">
        <is>
          <t>Not Run</t>
        </is>
      </c>
      <c r="P35" s="5" t="inlineStr"/>
      <c r="Q35" s="5" t="inlineStr"/>
    </row>
    <row r="36">
      <c r="A36" s="5" t="inlineStr">
        <is>
          <t>ASM-04</t>
        </is>
      </c>
      <c r="B36" s="5" t="inlineStr">
        <is>
          <t>Candidate Pipeline</t>
        </is>
      </c>
      <c r="C36" s="5" t="inlineStr">
        <is>
          <t>IQ / Tech Assessment</t>
        </is>
      </c>
      <c r="D36" s="5" t="inlineStr">
        <is>
          <t>Assessment scores imported from Evalground CSV</t>
        </is>
      </c>
      <c r="E36" s="5" t="inlineStr"/>
      <c r="F36" s="5" t="inlineStr">
        <is>
          <t>1. At IQ / Tech Assessment, click Upload / Import
2. Choose a valid Evalground CSV containing the candidate's email
3. Confirm the import</t>
        </is>
      </c>
      <c r="G36" s="5" t="inlineStr">
        <is>
          <t>Rows matched to candidates by email; scores written to the candidate's assessment record; unmatched rows listed; optional auto approve/reject on pass mark if enabled in Settings</t>
        </is>
      </c>
      <c r="H36" s="5" t="inlineStr">
        <is>
          <t>Positive</t>
        </is>
      </c>
      <c r="I36" s="5" t="inlineStr">
        <is>
          <t>P1</t>
        </is>
      </c>
      <c r="J36" s="5" t="inlineStr">
        <is>
          <t>Recruiter</t>
        </is>
      </c>
      <c r="K36" s="5" t="inlineStr">
        <is>
          <t>Automated - UI (fixture)</t>
        </is>
      </c>
      <c r="L36" s="5" t="inlineStr"/>
      <c r="M36" s="5" t="inlineStr">
        <is>
          <t>ATS_TestCases_HRUpload_to_ZekoHR_Updated 2.xlsx</t>
        </is>
      </c>
      <c r="N36" s="5" t="inlineStr">
        <is>
          <t>It Ran fine</t>
        </is>
      </c>
      <c r="O36" s="5" t="inlineStr">
        <is>
          <t>Not Run</t>
        </is>
      </c>
      <c r="P36" s="5" t="inlineStr"/>
      <c r="Q36" s="5" t="inlineStr">
        <is>
          <t>Steps/expected expanded from 'Upload csv manually'. Test data: docs/*TestReport*.csv.</t>
        </is>
      </c>
    </row>
    <row r="37">
      <c r="A37" s="5" t="inlineStr">
        <is>
          <t>ASM-05</t>
        </is>
      </c>
      <c r="B37" s="5" t="inlineStr">
        <is>
          <t>Candidate Pipeline</t>
        </is>
      </c>
      <c r="C37" s="5" t="inlineStr">
        <is>
          <t>IQ / Tech Assessment</t>
        </is>
      </c>
      <c r="D37" s="5" t="inlineStr">
        <is>
          <t>Approve</t>
        </is>
      </c>
      <c r="E37" s="5" t="inlineStr"/>
      <c r="F37" s="5" t="inlineStr">
        <is>
          <t>Record outcome -&gt; Approve</t>
        </is>
      </c>
      <c r="G37" s="5" t="inlineStr">
        <is>
          <t>Candidate advances to "Functional Screening (Zeko)"; status label = "IQ / Tech Assessment Approved"; email sent</t>
        </is>
      </c>
      <c r="H37" s="5" t="inlineStr">
        <is>
          <t>Positive</t>
        </is>
      </c>
      <c r="I37" s="5" t="inlineStr">
        <is>
          <t>P1</t>
        </is>
      </c>
      <c r="J37" s="5" t="inlineStr">
        <is>
          <t>Recruiter</t>
        </is>
      </c>
      <c r="K37" s="5" t="inlineStr">
        <is>
          <t>Automated - UI (fixture)</t>
        </is>
      </c>
      <c r="L37" s="5" t="inlineStr">
        <is>
          <t>MS Graph mail (delivery check only)</t>
        </is>
      </c>
      <c r="M37" s="5" t="inlineStr">
        <is>
          <t>ATS_TestCases_HRUpload_to_ZekoHR_Updated 2.xlsx</t>
        </is>
      </c>
      <c r="N37" s="5" t="inlineStr">
        <is>
          <t>It Ran fine</t>
        </is>
      </c>
      <c r="O37" s="5" t="inlineStr">
        <is>
          <t>Not Run</t>
        </is>
      </c>
      <c r="P37" s="5" t="inlineStr"/>
      <c r="Q37" s="5" t="inlineStr"/>
    </row>
    <row r="38">
      <c r="A38" s="5" t="inlineStr">
        <is>
          <t>ASM-06</t>
        </is>
      </c>
      <c r="B38" s="5" t="inlineStr">
        <is>
          <t>Candidate Pipeline</t>
        </is>
      </c>
      <c r="C38" s="5" t="inlineStr">
        <is>
          <t>IQ / Tech Assessment</t>
        </is>
      </c>
      <c r="D38" s="5" t="inlineStr">
        <is>
          <t>Reject without a valid reason</t>
        </is>
      </c>
      <c r="E38" s="5" t="inlineStr"/>
      <c r="F38" s="5" t="inlineStr">
        <is>
          <t>Reject -&gt; submit with no reason / "Other" selected with no free text</t>
        </is>
      </c>
      <c r="G38" s="5" t="inlineStr">
        <is>
          <t>Blocked: reason is mandatory</t>
        </is>
      </c>
      <c r="H38" s="5" t="inlineStr">
        <is>
          <t>Negative</t>
        </is>
      </c>
      <c r="I38" s="5" t="inlineStr">
        <is>
          <t>P1</t>
        </is>
      </c>
      <c r="J38" s="5" t="inlineStr">
        <is>
          <t>Recruiter</t>
        </is>
      </c>
      <c r="K38" s="5" t="inlineStr">
        <is>
          <t>Automated - UI (fixture)</t>
        </is>
      </c>
      <c r="L38" s="5" t="inlineStr">
        <is>
          <t>MS Graph mail (delivery check only)</t>
        </is>
      </c>
      <c r="M38" s="5" t="inlineStr">
        <is>
          <t>ATS_TestCases_HRUpload_to_ZekoHR_Updated 2.xlsx</t>
        </is>
      </c>
      <c r="N38" s="5" t="inlineStr">
        <is>
          <t>It Ran fine</t>
        </is>
      </c>
      <c r="O38" s="5" t="inlineStr">
        <is>
          <t>Not Run</t>
        </is>
      </c>
      <c r="P38" s="5" t="inlineStr"/>
      <c r="Q38" s="5" t="inlineStr"/>
    </row>
    <row r="39">
      <c r="A39" s="5" t="inlineStr">
        <is>
          <t>ASM-07</t>
        </is>
      </c>
      <c r="B39" s="5" t="inlineStr">
        <is>
          <t>Candidate Pipeline</t>
        </is>
      </c>
      <c r="C39" s="5" t="inlineStr">
        <is>
          <t>IQ / Tech Assessment</t>
        </is>
      </c>
      <c r="D39" s="5" t="inlineStr">
        <is>
          <t>Reject with a valid reason</t>
        </is>
      </c>
      <c r="E39" s="5" t="inlineStr"/>
      <c r="F39" s="5" t="inlineStr">
        <is>
          <t>Reject -&gt; pick reason -&gt; submit</t>
        </is>
      </c>
      <c r="G39" s="5" t="inlineStr">
        <is>
          <t>Stays at same stage; status = rejected; label = "IQ / Tech Assessment Rejected"; email sent; no advance</t>
        </is>
      </c>
      <c r="H39" s="5" t="inlineStr">
        <is>
          <t>Positive</t>
        </is>
      </c>
      <c r="I39" s="5" t="inlineStr">
        <is>
          <t>P1</t>
        </is>
      </c>
      <c r="J39" s="5" t="inlineStr">
        <is>
          <t>Recruiter</t>
        </is>
      </c>
      <c r="K39" s="5" t="inlineStr">
        <is>
          <t>Automated - UI (fixture)</t>
        </is>
      </c>
      <c r="L39" s="5" t="inlineStr">
        <is>
          <t>MS Graph mail (delivery check only)</t>
        </is>
      </c>
      <c r="M39" s="5" t="inlineStr">
        <is>
          <t>ATS_TestCases_HRUpload_to_ZekoHR_Updated 2.xlsx</t>
        </is>
      </c>
      <c r="N39" s="5" t="inlineStr">
        <is>
          <t>It Ran fine</t>
        </is>
      </c>
      <c r="O39" s="5" t="inlineStr">
        <is>
          <t>Not Run</t>
        </is>
      </c>
      <c r="P39" s="5" t="inlineStr"/>
      <c r="Q39" s="5" t="inlineStr"/>
    </row>
    <row r="40">
      <c r="A40" s="5" t="inlineStr">
        <is>
          <t>ASM-08</t>
        </is>
      </c>
      <c r="B40" s="5" t="inlineStr">
        <is>
          <t>Candidate Pipeline</t>
        </is>
      </c>
      <c r="C40" s="5" t="inlineStr">
        <is>
          <t>IQ / Tech Assessment</t>
        </is>
      </c>
      <c r="D40" s="5" t="inlineStr">
        <is>
          <t>Hold with a valid reason</t>
        </is>
      </c>
      <c r="E40" s="5" t="inlineStr"/>
      <c r="F40" s="5" t="inlineStr">
        <is>
          <t>Hold -&gt; pick reason -&gt; submit</t>
        </is>
      </c>
      <c r="G40" s="5" t="inlineStr">
        <is>
          <t>Stays at same stage; status = hold; label = "IQ / Tech Assessment On Hold"</t>
        </is>
      </c>
      <c r="H40" s="5" t="inlineStr">
        <is>
          <t>Positive</t>
        </is>
      </c>
      <c r="I40" s="5" t="inlineStr">
        <is>
          <t>P1</t>
        </is>
      </c>
      <c r="J40" s="5" t="inlineStr">
        <is>
          <t>Recruiter</t>
        </is>
      </c>
      <c r="K40" s="5" t="inlineStr">
        <is>
          <t>Automated - UI (fixture)</t>
        </is>
      </c>
      <c r="L40" s="5" t="inlineStr">
        <is>
          <t>MS Graph mail (delivery check only)</t>
        </is>
      </c>
      <c r="M40" s="5" t="inlineStr">
        <is>
          <t>ATS_TestCases_HRUpload_to_ZekoHR_Updated 2.xlsx</t>
        </is>
      </c>
      <c r="N40" s="5" t="inlineStr">
        <is>
          <t>It Ran fine</t>
        </is>
      </c>
      <c r="O40" s="5" t="inlineStr">
        <is>
          <t>Not Run</t>
        </is>
      </c>
      <c r="P40" s="5" t="inlineStr"/>
      <c r="Q40" s="5" t="inlineStr"/>
    </row>
    <row r="41">
      <c r="A41" s="5" t="inlineStr">
        <is>
          <t>ASM-09</t>
        </is>
      </c>
      <c r="B41" s="5" t="inlineStr">
        <is>
          <t>Candidate Pipeline</t>
        </is>
      </c>
      <c r="C41" s="5" t="inlineStr">
        <is>
          <t>IQ / Tech Assessment</t>
        </is>
      </c>
      <c r="D41" s="5" t="inlineStr">
        <is>
          <t>Preview outcome email before sending</t>
        </is>
      </c>
      <c r="E41" s="5" t="inlineStr"/>
      <c r="F41" s="5" t="inlineStr">
        <is>
          <t>Open outcome preview for "approved"</t>
        </is>
      </c>
      <c r="G41" s="5" t="inlineStr">
        <is>
          <t>Returns compiled subject/body; no email sent; no state change</t>
        </is>
      </c>
      <c r="H41" s="5" t="inlineStr">
        <is>
          <t>Positive</t>
        </is>
      </c>
      <c r="I41" s="5" t="inlineStr">
        <is>
          <t>P1</t>
        </is>
      </c>
      <c r="J41" s="5" t="inlineStr">
        <is>
          <t>Recruiter</t>
        </is>
      </c>
      <c r="K41" s="5" t="inlineStr">
        <is>
          <t>Automated - UI (fixture)</t>
        </is>
      </c>
      <c r="L41" s="5" t="inlineStr"/>
      <c r="M41" s="5" t="inlineStr">
        <is>
          <t>ATS_TestCases_HRUpload_to_ZekoHR_Updated 2.xlsx</t>
        </is>
      </c>
      <c r="N41" s="5" t="inlineStr">
        <is>
          <t>It Ran fine</t>
        </is>
      </c>
      <c r="O41" s="5" t="inlineStr">
        <is>
          <t>Not Run</t>
        </is>
      </c>
      <c r="P41" s="5" t="inlineStr"/>
      <c r="Q41" s="5" t="inlineStr"/>
    </row>
    <row r="42">
      <c r="A42" s="5" t="inlineStr">
        <is>
          <t>ZFN-01</t>
        </is>
      </c>
      <c r="B42" s="5" t="inlineStr">
        <is>
          <t>Candidate Pipeline</t>
        </is>
      </c>
      <c r="C42" s="5" t="inlineStr">
        <is>
          <t>Functional Screening</t>
        </is>
      </c>
      <c r="D42" s="5" t="inlineStr">
        <is>
          <t>Candidate enters stage</t>
        </is>
      </c>
      <c r="E42" s="5" t="inlineStr"/>
      <c r="F42" s="5" t="inlineStr">
        <is>
          <t>Approve at IQ / Tech Assessment</t>
        </is>
      </c>
      <c r="G42" s="5" t="inlineStr">
        <is>
          <t>Candidate card moves to "Functional Screening (Zeko)" column</t>
        </is>
      </c>
      <c r="H42" s="5" t="inlineStr">
        <is>
          <t>Positive</t>
        </is>
      </c>
      <c r="I42" s="5" t="inlineStr">
        <is>
          <t>P1</t>
        </is>
      </c>
      <c r="J42" s="5" t="inlineStr">
        <is>
          <t>Recruiter</t>
        </is>
      </c>
      <c r="K42" s="5" t="inlineStr">
        <is>
          <t>Automated - UI (fixture)</t>
        </is>
      </c>
      <c r="L42" s="5" t="inlineStr">
        <is>
          <t>MS Graph mail (delivery check only)</t>
        </is>
      </c>
      <c r="M42" s="5" t="inlineStr">
        <is>
          <t>ATS_TestCases_HRUpload_to_ZekoHR_Updated 2.xlsx</t>
        </is>
      </c>
      <c r="N42" s="5" t="inlineStr">
        <is>
          <t>It Ran fine</t>
        </is>
      </c>
      <c r="O42" s="5" t="inlineStr">
        <is>
          <t>Not Run</t>
        </is>
      </c>
      <c r="P42" s="5" t="inlineStr"/>
      <c r="Q42" s="5" t="inlineStr"/>
    </row>
    <row r="43">
      <c r="A43" s="5" t="inlineStr">
        <is>
          <t>ZFN-02</t>
        </is>
      </c>
      <c r="B43" s="5" t="inlineStr">
        <is>
          <t>Candidate Pipeline</t>
        </is>
      </c>
      <c r="C43" s="5" t="inlineStr">
        <is>
          <t>Functional Screening - Assign &amp; Schedule</t>
        </is>
      </c>
      <c r="D43" s="5" t="inlineStr">
        <is>
          <t>Assign &amp; schedule Zeko functional interview</t>
        </is>
      </c>
      <c r="E43" s="5" t="inlineStr"/>
      <c r="F43" s="5" t="inlineStr">
        <is>
          <t>Same flow as ZHR-01..04 but with the Functional Screening Zeko job</t>
        </is>
      </c>
      <c r="G43" s="5" t="inlineStr">
        <is>
          <t>Same behaviour as ZHR-01..04 for the functional round</t>
        </is>
      </c>
      <c r="H43" s="5" t="inlineStr">
        <is>
          <t>Positive</t>
        </is>
      </c>
      <c r="I43" s="5" t="inlineStr">
        <is>
          <t>P1</t>
        </is>
      </c>
      <c r="J43" s="5" t="inlineStr">
        <is>
          <t>Recruiter</t>
        </is>
      </c>
      <c r="K43" s="5" t="inlineStr">
        <is>
          <t>Manual - External</t>
        </is>
      </c>
      <c r="L43" s="5" t="inlineStr">
        <is>
          <t>Zeko API</t>
        </is>
      </c>
      <c r="M43" s="5" t="inlineStr">
        <is>
          <t>ATS_TestCases_HRUpload_to_ZekoHR_Updated 2.xlsx</t>
        </is>
      </c>
      <c r="N43" s="5" t="inlineStr">
        <is>
          <t>It Ran fine</t>
        </is>
      </c>
      <c r="O43" s="5" t="inlineStr">
        <is>
          <t>Not Run</t>
        </is>
      </c>
      <c r="P43" s="5" t="inlineStr"/>
      <c r="Q43" s="5" t="inlineStr">
        <is>
          <t>Original row had no steps/expected.</t>
        </is>
      </c>
    </row>
    <row r="44">
      <c r="A44" s="5" t="inlineStr">
        <is>
          <t>ZFN-03</t>
        </is>
      </c>
      <c r="B44" s="5" t="inlineStr">
        <is>
          <t>Candidate Pipeline</t>
        </is>
      </c>
      <c r="C44" s="5" t="inlineStr">
        <is>
          <t>Functional Screening</t>
        </is>
      </c>
      <c r="D44" s="5" t="inlineStr">
        <is>
          <t>Approve</t>
        </is>
      </c>
      <c r="E44" s="5" t="inlineStr"/>
      <c r="F44" s="5" t="inlineStr">
        <is>
          <t>Record outcome -&gt; Approve</t>
        </is>
      </c>
      <c r="G44" s="5" t="inlineStr">
        <is>
          <t>Candidate advances to "Technical Round 1"; label = "Functional Screening Approved"; email sent</t>
        </is>
      </c>
      <c r="H44" s="5" t="inlineStr">
        <is>
          <t>Positive</t>
        </is>
      </c>
      <c r="I44" s="5" t="inlineStr">
        <is>
          <t>P1</t>
        </is>
      </c>
      <c r="J44" s="5" t="inlineStr">
        <is>
          <t>Recruiter</t>
        </is>
      </c>
      <c r="K44" s="5" t="inlineStr">
        <is>
          <t>Automated - UI (fixture)</t>
        </is>
      </c>
      <c r="L44" s="5" t="inlineStr">
        <is>
          <t>MS Graph mail (delivery check only)</t>
        </is>
      </c>
      <c r="M44" s="5" t="inlineStr">
        <is>
          <t>ATS_TestCases_HRUpload_to_ZekoHR_Updated 2.xlsx</t>
        </is>
      </c>
      <c r="N44" s="5" t="inlineStr">
        <is>
          <t>It Ran fine</t>
        </is>
      </c>
      <c r="O44" s="5" t="inlineStr">
        <is>
          <t>Not Run</t>
        </is>
      </c>
      <c r="P44" s="5" t="inlineStr"/>
      <c r="Q44" s="5" t="inlineStr"/>
    </row>
    <row r="45">
      <c r="A45" s="5" t="inlineStr">
        <is>
          <t>ZFN-04</t>
        </is>
      </c>
      <c r="B45" s="5" t="inlineStr">
        <is>
          <t>Candidate Pipeline</t>
        </is>
      </c>
      <c r="C45" s="5" t="inlineStr">
        <is>
          <t>Functional Screening</t>
        </is>
      </c>
      <c r="D45" s="5" t="inlineStr">
        <is>
          <t>Reject without a valid reason</t>
        </is>
      </c>
      <c r="E45" s="5" t="inlineStr"/>
      <c r="F45" s="5" t="inlineStr">
        <is>
          <t>Reject -&gt; submit with no reason</t>
        </is>
      </c>
      <c r="G45" s="5" t="inlineStr">
        <is>
          <t>Blocked: reason is mandatory</t>
        </is>
      </c>
      <c r="H45" s="5" t="inlineStr">
        <is>
          <t>Negative</t>
        </is>
      </c>
      <c r="I45" s="5" t="inlineStr">
        <is>
          <t>P1</t>
        </is>
      </c>
      <c r="J45" s="5" t="inlineStr">
        <is>
          <t>Recruiter</t>
        </is>
      </c>
      <c r="K45" s="5" t="inlineStr">
        <is>
          <t>Automated - UI (fixture)</t>
        </is>
      </c>
      <c r="L45" s="5" t="inlineStr">
        <is>
          <t>MS Graph mail (delivery check only)</t>
        </is>
      </c>
      <c r="M45" s="5" t="inlineStr">
        <is>
          <t>ATS_TestCases_HRUpload_to_ZekoHR_Updated 2.xlsx</t>
        </is>
      </c>
      <c r="N45" s="5" t="inlineStr">
        <is>
          <t>It Ran fine</t>
        </is>
      </c>
      <c r="O45" s="5" t="inlineStr">
        <is>
          <t>Not Run</t>
        </is>
      </c>
      <c r="P45" s="5" t="inlineStr"/>
      <c r="Q45" s="5" t="inlineStr"/>
    </row>
    <row r="46">
      <c r="A46" s="5" t="inlineStr">
        <is>
          <t>ZFN-05</t>
        </is>
      </c>
      <c r="B46" s="5" t="inlineStr">
        <is>
          <t>Candidate Pipeline</t>
        </is>
      </c>
      <c r="C46" s="5" t="inlineStr">
        <is>
          <t>Functional Screening</t>
        </is>
      </c>
      <c r="D46" s="5" t="inlineStr">
        <is>
          <t>Reject with a valid reason</t>
        </is>
      </c>
      <c r="E46" s="5" t="inlineStr"/>
      <c r="F46" s="5" t="inlineStr">
        <is>
          <t>Reject -&gt; pick reason -&gt; submit</t>
        </is>
      </c>
      <c r="G46" s="5" t="inlineStr">
        <is>
          <t>Stays at same stage; status = rejected; label = "Functional Screening Rejected"; email sent</t>
        </is>
      </c>
      <c r="H46" s="5" t="inlineStr">
        <is>
          <t>Positive</t>
        </is>
      </c>
      <c r="I46" s="5" t="inlineStr">
        <is>
          <t>P1</t>
        </is>
      </c>
      <c r="J46" s="5" t="inlineStr">
        <is>
          <t>Recruiter</t>
        </is>
      </c>
      <c r="K46" s="5" t="inlineStr">
        <is>
          <t>Automated - UI (fixture)</t>
        </is>
      </c>
      <c r="L46" s="5" t="inlineStr">
        <is>
          <t>MS Graph mail (delivery check only)</t>
        </is>
      </c>
      <c r="M46" s="5" t="inlineStr">
        <is>
          <t>ATS_TestCases_HRUpload_to_ZekoHR_Updated 2.xlsx</t>
        </is>
      </c>
      <c r="N46" s="5" t="inlineStr">
        <is>
          <t>It Ran fine</t>
        </is>
      </c>
      <c r="O46" s="5" t="inlineStr">
        <is>
          <t>Not Run</t>
        </is>
      </c>
      <c r="P46" s="5" t="inlineStr"/>
      <c r="Q46" s="5" t="inlineStr"/>
    </row>
    <row r="47">
      <c r="A47" s="5" t="inlineStr">
        <is>
          <t>ZFN-06</t>
        </is>
      </c>
      <c r="B47" s="5" t="inlineStr">
        <is>
          <t>Candidate Pipeline</t>
        </is>
      </c>
      <c r="C47" s="5" t="inlineStr">
        <is>
          <t>Functional Screening</t>
        </is>
      </c>
      <c r="D47" s="5" t="inlineStr">
        <is>
          <t>Hold with a valid reason</t>
        </is>
      </c>
      <c r="E47" s="5" t="inlineStr"/>
      <c r="F47" s="5" t="inlineStr">
        <is>
          <t>Hold -&gt; pick reason -&gt; submit</t>
        </is>
      </c>
      <c r="G47" s="5" t="inlineStr">
        <is>
          <t>Stays at same stage; status = hold</t>
        </is>
      </c>
      <c r="H47" s="5" t="inlineStr">
        <is>
          <t>Positive</t>
        </is>
      </c>
      <c r="I47" s="5" t="inlineStr">
        <is>
          <t>P1</t>
        </is>
      </c>
      <c r="J47" s="5" t="inlineStr">
        <is>
          <t>Recruiter</t>
        </is>
      </c>
      <c r="K47" s="5" t="inlineStr">
        <is>
          <t>Automated - UI (fixture)</t>
        </is>
      </c>
      <c r="L47" s="5" t="inlineStr">
        <is>
          <t>MS Graph mail (delivery check only)</t>
        </is>
      </c>
      <c r="M47" s="5" t="inlineStr">
        <is>
          <t>ATS_TestCases_HRUpload_to_ZekoHR_Updated 2.xlsx</t>
        </is>
      </c>
      <c r="N47" s="5" t="inlineStr">
        <is>
          <t>It Ran fine</t>
        </is>
      </c>
      <c r="O47" s="5" t="inlineStr">
        <is>
          <t>Not Run</t>
        </is>
      </c>
      <c r="P47" s="5" t="inlineStr"/>
      <c r="Q47" s="5" t="inlineStr"/>
    </row>
    <row r="48">
      <c r="A48" s="5" t="inlineStr">
        <is>
          <t>ZFN-07</t>
        </is>
      </c>
      <c r="B48" s="5" t="inlineStr">
        <is>
          <t>Candidate Pipeline</t>
        </is>
      </c>
      <c r="C48" s="5" t="inlineStr">
        <is>
          <t>Functional Screening</t>
        </is>
      </c>
      <c r="D48" s="5" t="inlineStr">
        <is>
          <t>Preview outcome email</t>
        </is>
      </c>
      <c r="E48" s="5" t="inlineStr"/>
      <c r="F48" s="5" t="inlineStr">
        <is>
          <t>Open outcome preview for "approved"</t>
        </is>
      </c>
      <c r="G48" s="5" t="inlineStr">
        <is>
          <t>Returns compiled content, no send</t>
        </is>
      </c>
      <c r="H48" s="5" t="inlineStr">
        <is>
          <t>Positive</t>
        </is>
      </c>
      <c r="I48" s="5" t="inlineStr">
        <is>
          <t>P1</t>
        </is>
      </c>
      <c r="J48" s="5" t="inlineStr">
        <is>
          <t>Recruiter</t>
        </is>
      </c>
      <c r="K48" s="5" t="inlineStr">
        <is>
          <t>Automated - UI (fixture)</t>
        </is>
      </c>
      <c r="L48" s="5" t="inlineStr"/>
      <c r="M48" s="5" t="inlineStr">
        <is>
          <t>ATS_TestCases_HRUpload_to_ZekoHR_Updated 2.xlsx</t>
        </is>
      </c>
      <c r="N48" s="5" t="inlineStr">
        <is>
          <t>It Ran fine</t>
        </is>
      </c>
      <c r="O48" s="5" t="inlineStr">
        <is>
          <t>Not Run</t>
        </is>
      </c>
      <c r="P48" s="5" t="inlineStr"/>
      <c r="Q48" s="5" t="inlineStr"/>
    </row>
    <row r="49">
      <c r="A49" s="5" t="inlineStr">
        <is>
          <t>T1-01</t>
        </is>
      </c>
      <c r="B49" s="5" t="inlineStr">
        <is>
          <t>Candidate Pipeline</t>
        </is>
      </c>
      <c r="C49" s="5" t="inlineStr">
        <is>
          <t>Technical Round 1</t>
        </is>
      </c>
      <c r="D49" s="5" t="inlineStr">
        <is>
          <t>Candidate enters stage</t>
        </is>
      </c>
      <c r="E49" s="5" t="inlineStr"/>
      <c r="F49" s="5" t="inlineStr">
        <is>
          <t>Approve at Functional Screening</t>
        </is>
      </c>
      <c r="G49" s="5" t="inlineStr">
        <is>
          <t>Card moves to "Technical Round 1" column</t>
        </is>
      </c>
      <c r="H49" s="5" t="inlineStr">
        <is>
          <t>Positive</t>
        </is>
      </c>
      <c r="I49" s="5" t="inlineStr">
        <is>
          <t>P1</t>
        </is>
      </c>
      <c r="J49" s="5" t="inlineStr">
        <is>
          <t>Recruiter</t>
        </is>
      </c>
      <c r="K49" s="5" t="inlineStr">
        <is>
          <t>Automated - UI (fixture)</t>
        </is>
      </c>
      <c r="L49" s="5" t="inlineStr">
        <is>
          <t>MS Graph mail (delivery check only)</t>
        </is>
      </c>
      <c r="M49" s="5" t="inlineStr">
        <is>
          <t>ATS_TestCases_HRUpload_to_ZekoHR_Updated 2.xlsx</t>
        </is>
      </c>
      <c r="N49" s="5" t="inlineStr">
        <is>
          <t>It Ran fine</t>
        </is>
      </c>
      <c r="O49" s="5" t="inlineStr">
        <is>
          <t>Not Run</t>
        </is>
      </c>
      <c r="P49" s="5" t="inlineStr"/>
      <c r="Q49" s="5" t="inlineStr"/>
    </row>
    <row r="50">
      <c r="A50" s="5" t="inlineStr">
        <is>
          <t>T1-02</t>
        </is>
      </c>
      <c r="B50" s="5" t="inlineStr">
        <is>
          <t>Candidate Pipeline</t>
        </is>
      </c>
      <c r="C50" s="5" t="inlineStr">
        <is>
          <t>Technical Round 1</t>
        </is>
      </c>
      <c r="D50" s="5" t="inlineStr">
        <is>
          <t>Schedule Interview button appears</t>
        </is>
      </c>
      <c r="E50" s="5" t="inlineStr"/>
      <c r="F50" s="5" t="inlineStr">
        <is>
          <t>Open a candidate on Technical Round 1 whose interview isn't scheduled yet</t>
        </is>
      </c>
      <c r="G50" s="5" t="inlineStr">
        <is>
          <t>Stage step 2 shows "Schedule Interview — In progress" with a green "Schedule Interview" button</t>
        </is>
      </c>
      <c r="H50" s="5" t="inlineStr">
        <is>
          <t>Positive</t>
        </is>
      </c>
      <c r="I50" s="5" t="inlineStr">
        <is>
          <t>P1</t>
        </is>
      </c>
      <c r="J50" s="5" t="inlineStr">
        <is>
          <t>Recruiter</t>
        </is>
      </c>
      <c r="K50" s="5" t="inlineStr">
        <is>
          <t>Automated - UI (fixture)</t>
        </is>
      </c>
      <c r="L50" s="5" t="inlineStr"/>
      <c r="M50" s="5" t="inlineStr">
        <is>
          <t>ATS_TestCases_HRUpload_to_ZekoHR_Updated 2.xlsx</t>
        </is>
      </c>
      <c r="N50" s="5" t="inlineStr">
        <is>
          <t>It Ran fine</t>
        </is>
      </c>
      <c r="O50" s="5" t="inlineStr">
        <is>
          <t>Not Run</t>
        </is>
      </c>
      <c r="P50" s="5" t="inlineStr"/>
      <c r="Q50" s="5" t="inlineStr"/>
    </row>
    <row r="51">
      <c r="A51" s="5" t="inlineStr">
        <is>
          <t>T1-03</t>
        </is>
      </c>
      <c r="B51" s="5" t="inlineStr">
        <is>
          <t>Candidate Pipeline</t>
        </is>
      </c>
      <c r="C51" s="5" t="inlineStr">
        <is>
          <t>Technical Round 1</t>
        </is>
      </c>
      <c r="D51" s="5" t="inlineStr">
        <is>
          <t>Date &amp; time is mandatory</t>
        </is>
      </c>
      <c r="E51" s="5" t="inlineStr"/>
      <c r="F51" s="5" t="inlineStr">
        <is>
          <t>Select the date &amp; time options to schedule the interview by clicking ok after selection of Date &amp; Time.</t>
        </is>
      </c>
      <c r="G51" s="5" t="inlineStr">
        <is>
          <t>Blocked with a validation error on the Date &amp; time field</t>
        </is>
      </c>
      <c r="H51" s="5" t="inlineStr">
        <is>
          <t>Negative</t>
        </is>
      </c>
      <c r="I51" s="5" t="inlineStr">
        <is>
          <t>P1</t>
        </is>
      </c>
      <c r="J51" s="5" t="inlineStr">
        <is>
          <t>Recruiter</t>
        </is>
      </c>
      <c r="K51" s="5" t="inlineStr">
        <is>
          <t>Automated - UI (fixture)</t>
        </is>
      </c>
      <c r="L51" s="5" t="inlineStr"/>
      <c r="M51" s="5" t="inlineStr">
        <is>
          <t>ATS_TestCases_HRUpload_to_ZekoHR_Updated 2.xlsx</t>
        </is>
      </c>
      <c r="N51" s="5" t="inlineStr">
        <is>
          <t>It Ran fine</t>
        </is>
      </c>
      <c r="O51" s="5" t="inlineStr">
        <is>
          <t>Not Run</t>
        </is>
      </c>
      <c r="P51" s="5" t="inlineStr"/>
      <c r="Q51" s="5" t="inlineStr"/>
    </row>
    <row r="52">
      <c r="A52" s="5" t="inlineStr">
        <is>
          <t>T1-04</t>
        </is>
      </c>
      <c r="B52" s="5" t="inlineStr">
        <is>
          <t>Candidate Pipeline</t>
        </is>
      </c>
      <c r="C52" s="5" t="inlineStr">
        <is>
          <t>Technical Round 1</t>
        </is>
      </c>
      <c r="D52" s="5" t="inlineStr">
        <is>
          <t>Duration defaults and is changeable</t>
        </is>
      </c>
      <c r="E52" s="5" t="inlineStr"/>
      <c r="F52" s="5" t="inlineStr">
        <is>
          <t>Open modal, check Duration dropdown</t>
        </is>
      </c>
      <c r="G52" s="5" t="inlineStr">
        <is>
          <t>Defaults to 60 minutes; other durations can be selected</t>
        </is>
      </c>
      <c r="H52" s="5" t="inlineStr">
        <is>
          <t>Positive</t>
        </is>
      </c>
      <c r="I52" s="5" t="inlineStr">
        <is>
          <t>P1</t>
        </is>
      </c>
      <c r="J52" s="5" t="inlineStr">
        <is>
          <t>Recruiter</t>
        </is>
      </c>
      <c r="K52" s="5" t="inlineStr">
        <is>
          <t>Automated - UI (fixture)</t>
        </is>
      </c>
      <c r="L52" s="5" t="inlineStr"/>
      <c r="M52" s="5" t="inlineStr">
        <is>
          <t>ATS_TestCases_HRUpload_to_ZekoHR_Updated 2.xlsx</t>
        </is>
      </c>
      <c r="N52" s="5" t="inlineStr">
        <is>
          <t>It Ran fine</t>
        </is>
      </c>
      <c r="O52" s="5" t="inlineStr">
        <is>
          <t>Not Run</t>
        </is>
      </c>
      <c r="P52" s="5" t="inlineStr"/>
      <c r="Q52" s="5" t="inlineStr"/>
    </row>
    <row r="53">
      <c r="A53" s="5" t="inlineStr">
        <is>
          <t>T1-05</t>
        </is>
      </c>
      <c r="B53" s="5" t="inlineStr">
        <is>
          <t>Candidate Pipeline</t>
        </is>
      </c>
      <c r="C53" s="5" t="inlineStr">
        <is>
          <t>Technical Round 1</t>
        </is>
      </c>
      <c r="D53" s="5" t="inlineStr">
        <is>
          <t>Interviewer email(s) is mandatory</t>
        </is>
      </c>
      <c r="E53" s="5" t="inlineStr"/>
      <c r="F53" s="5" t="inlineStr">
        <is>
          <t>Click 'Create invite' with Interviewer email(s) left blank</t>
        </is>
      </c>
      <c r="G53" s="5" t="inlineStr">
        <is>
          <t>Blocked with a validation error on that field</t>
        </is>
      </c>
      <c r="H53" s="5" t="inlineStr">
        <is>
          <t>Negative</t>
        </is>
      </c>
      <c r="I53" s="5" t="inlineStr">
        <is>
          <t>P1</t>
        </is>
      </c>
      <c r="J53" s="5" t="inlineStr">
        <is>
          <t>Recruiter</t>
        </is>
      </c>
      <c r="K53" s="5" t="inlineStr">
        <is>
          <t>Automated - UI (fixture)</t>
        </is>
      </c>
      <c r="L53" s="5" t="inlineStr"/>
      <c r="M53" s="5" t="inlineStr">
        <is>
          <t>ATS_TestCases_HRUpload_to_ZekoHR_Updated 2.xlsx</t>
        </is>
      </c>
      <c r="N53" s="5" t="inlineStr">
        <is>
          <t>It Ran fine</t>
        </is>
      </c>
      <c r="O53" s="5" t="inlineStr">
        <is>
          <t>Not Run</t>
        </is>
      </c>
      <c r="P53" s="5" t="inlineStr"/>
      <c r="Q53" s="5" t="inlineStr"/>
    </row>
    <row r="54">
      <c r="A54" s="5" t="inlineStr">
        <is>
          <t>T1-06</t>
        </is>
      </c>
      <c r="B54" s="5" t="inlineStr">
        <is>
          <t>Candidate Pipeline</t>
        </is>
      </c>
      <c r="C54" s="5" t="inlineStr">
        <is>
          <t>Technical Round 1</t>
        </is>
      </c>
      <c r="D54" s="5" t="inlineStr">
        <is>
          <t>Multiple interviewers via comma-separated emails</t>
        </is>
      </c>
      <c r="E54" s="5" t="inlineStr"/>
      <c r="F54" s="5" t="inlineStr">
        <is>
          <t>Enter two valid emails separated by a comma</t>
        </is>
      </c>
      <c r="G54" s="5" t="inlineStr">
        <is>
          <t>Both are accepted; both later receive the interviewer invitation email</t>
        </is>
      </c>
      <c r="H54" s="5" t="inlineStr">
        <is>
          <t>Positive</t>
        </is>
      </c>
      <c r="I54" s="5" t="inlineStr">
        <is>
          <t>P1</t>
        </is>
      </c>
      <c r="J54" s="5" t="inlineStr">
        <is>
          <t>Recruiter</t>
        </is>
      </c>
      <c r="K54" s="5" t="inlineStr">
        <is>
          <t>Automated - UI (fixture)</t>
        </is>
      </c>
      <c r="L54" s="5" t="inlineStr"/>
      <c r="M54" s="5" t="inlineStr">
        <is>
          <t>ATS_TestCases_HRUpload_to_ZekoHR_Updated 2.xlsx</t>
        </is>
      </c>
      <c r="N54" s="5" t="inlineStr">
        <is>
          <t>It Ran fine</t>
        </is>
      </c>
      <c r="O54" s="5" t="inlineStr">
        <is>
          <t>Not Run</t>
        </is>
      </c>
      <c r="P54" s="5" t="inlineStr"/>
      <c r="Q54" s="5" t="inlineStr"/>
    </row>
    <row r="55">
      <c r="A55" s="5" t="inlineStr">
        <is>
          <t>T1-07</t>
        </is>
      </c>
      <c r="B55" s="5" t="inlineStr">
        <is>
          <t>Candidate Pipeline</t>
        </is>
      </c>
      <c r="C55" s="5" t="inlineStr">
        <is>
          <t>Technical Round 1</t>
        </is>
      </c>
      <c r="D55" s="5" t="inlineStr">
        <is>
          <t>Email previews are editable before sending</t>
        </is>
      </c>
      <c r="E55" s="5" t="inlineStr"/>
      <c r="F55" s="5" t="inlineStr">
        <is>
          <t>Expand 'Invitation -&gt; candidate' and 'Invitation -&gt; interviewer(s)', edit the text</t>
        </is>
      </c>
      <c r="G55" s="5" t="inlineStr">
        <is>
          <t>Edited text is what actually gets sent, not the original template</t>
        </is>
      </c>
      <c r="H55" s="5" t="inlineStr">
        <is>
          <t>Positive</t>
        </is>
      </c>
      <c r="I55" s="5" t="inlineStr">
        <is>
          <t>P1</t>
        </is>
      </c>
      <c r="J55" s="5" t="inlineStr">
        <is>
          <t>Recruiter</t>
        </is>
      </c>
      <c r="K55" s="5" t="inlineStr">
        <is>
          <t>Automated - UI (fixture)</t>
        </is>
      </c>
      <c r="L55" s="5" t="inlineStr">
        <is>
          <t>MS Graph mail (delivery check only)</t>
        </is>
      </c>
      <c r="M55" s="5" t="inlineStr">
        <is>
          <t>ATS_TestCases_HRUpload_to_ZekoHR_Updated 2.xlsx</t>
        </is>
      </c>
      <c r="N55" s="5" t="inlineStr">
        <is>
          <t>It Ran fine</t>
        </is>
      </c>
      <c r="O55" s="5" t="inlineStr">
        <is>
          <t>Not Run</t>
        </is>
      </c>
      <c r="P55" s="5" t="inlineStr"/>
      <c r="Q55" s="5" t="inlineStr">
        <is>
          <t>Preview text must already show 'Hi &lt;interviewer name&gt;,' (fix #20).</t>
        </is>
      </c>
    </row>
    <row r="56">
      <c r="A56" s="5" t="inlineStr">
        <is>
          <t>T1-08</t>
        </is>
      </c>
      <c r="B56" s="5" t="inlineStr">
        <is>
          <t>Candidate Pipeline</t>
        </is>
      </c>
      <c r="C56" s="5" t="inlineStr">
        <is>
          <t>Technical Round 1</t>
        </is>
      </c>
      <c r="D56" s="5" t="inlineStr">
        <is>
          <t>Create invite generates a Teams meeting</t>
        </is>
      </c>
      <c r="E56" s="5" t="inlineStr"/>
      <c r="F56" s="5" t="inlineStr">
        <is>
          <t>Fill valid date/time + interviewer email(s) -&gt; Create invite</t>
        </is>
      </c>
      <c r="G56" s="5" t="inlineStr">
        <is>
          <t>A Microsoft Teams meeting is created with a working Join link, a Meeting ID, and a Passcode</t>
        </is>
      </c>
      <c r="H56" s="5" t="inlineStr">
        <is>
          <t>Positive</t>
        </is>
      </c>
      <c r="I56" s="5" t="inlineStr">
        <is>
          <t>P1</t>
        </is>
      </c>
      <c r="J56" s="5" t="inlineStr">
        <is>
          <t>Recruiter</t>
        </is>
      </c>
      <c r="K56" s="5" t="inlineStr">
        <is>
          <t>Manual - External</t>
        </is>
      </c>
      <c r="L56" s="5" t="inlineStr">
        <is>
          <t>MS Graph calendar / Teams</t>
        </is>
      </c>
      <c r="M56" s="5" t="inlineStr">
        <is>
          <t>ATS_TestCases_HRUpload_to_ZekoHR_Updated 2.xlsx</t>
        </is>
      </c>
      <c r="N56" s="5" t="inlineStr">
        <is>
          <t>It Ran fine</t>
        </is>
      </c>
      <c r="O56" s="5" t="inlineStr">
        <is>
          <t>Not Run</t>
        </is>
      </c>
      <c r="P56" s="5" t="inlineStr"/>
      <c r="Q56" s="5" t="inlineStr"/>
    </row>
    <row r="57">
      <c r="A57" s="5" t="inlineStr">
        <is>
          <t>T1-09</t>
        </is>
      </c>
      <c r="B57" s="5" t="inlineStr">
        <is>
          <t>Candidate Pipeline</t>
        </is>
      </c>
      <c r="C57" s="5" t="inlineStr">
        <is>
          <t>Technical Round 1</t>
        </is>
      </c>
      <c r="D57" s="5" t="inlineStr">
        <is>
          <t>Both invitation emails are actually sent</t>
        </is>
      </c>
      <c r="E57" s="5" t="inlineStr"/>
      <c r="F57" s="5" t="inlineStr">
        <is>
          <t>After Create invite</t>
        </is>
      </c>
      <c r="G57" s="5" t="inlineStr">
        <is>
          <t>Candidate and interviewer(s) each receive an invite email; "Emails in this round" log shows "Interview invite -&gt; candidate + interviewer · &lt;timestamp&gt;"</t>
        </is>
      </c>
      <c r="H57" s="5" t="inlineStr">
        <is>
          <t>Positive</t>
        </is>
      </c>
      <c r="I57" s="5" t="inlineStr">
        <is>
          <t>P1</t>
        </is>
      </c>
      <c r="J57" s="5" t="inlineStr">
        <is>
          <t>Recruiter</t>
        </is>
      </c>
      <c r="K57" s="5" t="inlineStr">
        <is>
          <t>Manual - External</t>
        </is>
      </c>
      <c r="L57" s="5" t="inlineStr">
        <is>
          <t>MS Graph mail (delivery check only)</t>
        </is>
      </c>
      <c r="M57" s="5" t="inlineStr">
        <is>
          <t>ATS_TestCases_HRUpload_to_ZekoHR_Updated 2.xlsx</t>
        </is>
      </c>
      <c r="N57" s="5" t="inlineStr">
        <is>
          <t>It Ran fine</t>
        </is>
      </c>
      <c r="O57" s="5" t="inlineStr">
        <is>
          <t>Not Run</t>
        </is>
      </c>
      <c r="P57" s="5" t="inlineStr"/>
      <c r="Q57" s="5" t="inlineStr">
        <is>
          <t>An Email is sending to Interviewer's but interviewer name is not coming automatically in body content as user has to provide manually.
Interviewer-name defect fixed in CHANGES-2026-08-07 #20; needs re-run of prisma/seed-email-templates.js.</t>
        </is>
      </c>
    </row>
    <row r="58">
      <c r="A58" s="5" t="inlineStr">
        <is>
          <t>T1-10</t>
        </is>
      </c>
      <c r="B58" s="5" t="inlineStr">
        <is>
          <t>Candidate Pipeline</t>
        </is>
      </c>
      <c r="C58" s="5" t="inlineStr">
        <is>
          <t>Technical Round 1</t>
        </is>
      </c>
      <c r="D58" s="5" t="inlineStr">
        <is>
          <t>Stage step reflects the scheduled state</t>
        </is>
      </c>
      <c r="E58" s="5" t="inlineStr">
        <is>
          <t>MS_CALENDAR_ENABLED=false locally: booking is saved without a Teams event.</t>
        </is>
      </c>
      <c r="F58" s="5" t="inlineStr">
        <is>
          <t>After Create invite, re-open the drawer</t>
        </is>
      </c>
      <c r="G58" s="5" t="inlineStr">
        <is>
          <t>"Schedule Interview" step shows "Done" with "Scheduled · &lt;date&gt; with &lt;interviewer&gt;"</t>
        </is>
      </c>
      <c r="H58" s="5" t="inlineStr">
        <is>
          <t>Positive</t>
        </is>
      </c>
      <c r="I58" s="5" t="inlineStr">
        <is>
          <t>P1</t>
        </is>
      </c>
      <c r="J58" s="5" t="inlineStr">
        <is>
          <t>Recruiter</t>
        </is>
      </c>
      <c r="K58" s="5" t="inlineStr">
        <is>
          <t>Automated - UI (fixture)</t>
        </is>
      </c>
      <c r="L58" s="5" t="inlineStr"/>
      <c r="M58" s="5" t="inlineStr">
        <is>
          <t>ATS_TestCases_HRUpload_to_ZekoHR_Updated 2.xlsx</t>
        </is>
      </c>
      <c r="N58" s="5" t="inlineStr">
        <is>
          <t>It Ran fine</t>
        </is>
      </c>
      <c r="O58" s="5" t="inlineStr">
        <is>
          <t>Not Run</t>
        </is>
      </c>
      <c r="P58" s="5" t="inlineStr"/>
      <c r="Q58" s="5" t="inlineStr"/>
    </row>
    <row r="59">
      <c r="A59" s="5" t="inlineStr">
        <is>
          <t>T1-11</t>
        </is>
      </c>
      <c r="B59" s="5" t="inlineStr">
        <is>
          <t>Candidate Pipeline</t>
        </is>
      </c>
      <c r="C59" s="5" t="inlineStr">
        <is>
          <t>Technical Round 1</t>
        </is>
      </c>
      <c r="D59" s="5" t="inlineStr">
        <is>
          <t>'Awaiting Results' activates once scheduled</t>
        </is>
      </c>
      <c r="E59" s="5" t="inlineStr"/>
      <c r="F59" s="5" t="inlineStr">
        <is>
          <t>After Create invite, re-open the drawer and check the 'Awaiting Results' step</t>
        </is>
      </c>
      <c r="G59" s="5" t="inlineStr">
        <is>
          <t>"Awaiting Results" step flips from "Not started yet" to "In progress" / "Awaiting the interview &amp; feedback"</t>
        </is>
      </c>
      <c r="H59" s="5" t="inlineStr">
        <is>
          <t>Positive</t>
        </is>
      </c>
      <c r="I59" s="5" t="inlineStr">
        <is>
          <t>P1</t>
        </is>
      </c>
      <c r="J59" s="5" t="inlineStr">
        <is>
          <t>Recruiter</t>
        </is>
      </c>
      <c r="K59" s="5" t="inlineStr">
        <is>
          <t>Automated - UI (fixture)</t>
        </is>
      </c>
      <c r="L59" s="5" t="inlineStr"/>
      <c r="M59" s="5" t="inlineStr">
        <is>
          <t>ATS_TestCases_HRUpload_to_ZekoHR_Updated 2.xlsx</t>
        </is>
      </c>
      <c r="N59" s="5" t="inlineStr">
        <is>
          <t>It Ran fine</t>
        </is>
      </c>
      <c r="O59" s="5" t="inlineStr">
        <is>
          <t>Not Run</t>
        </is>
      </c>
      <c r="P59" s="5" t="inlineStr"/>
      <c r="Q59" s="5" t="inlineStr"/>
    </row>
    <row r="60">
      <c r="A60" s="5" t="inlineStr">
        <is>
          <t>T1-12</t>
        </is>
      </c>
      <c r="B60" s="5" t="inlineStr">
        <is>
          <t>Candidate Pipeline</t>
        </is>
      </c>
      <c r="C60" s="5" t="inlineStr">
        <is>
          <t>Technical Round 1</t>
        </is>
      </c>
      <c r="D60" s="5" t="inlineStr">
        <is>
          <t>Reschedule an existing interview</t>
        </is>
      </c>
      <c r="E60" s="5" t="inlineStr"/>
      <c r="F60" s="5" t="inlineStr">
        <is>
          <t>Click 'Reschedule' on an already-scheduled interview</t>
        </is>
      </c>
      <c r="G60" s="5" t="inlineStr">
        <is>
          <t>Modal reopens pre-filled with current date/time/interviewer; saving updates the booking and re-sends invites. The SAME Teams/Outlook event is updated (time patched) - no new meeting ID is created.</t>
        </is>
      </c>
      <c r="H60" s="5" t="inlineStr">
        <is>
          <t>Positive</t>
        </is>
      </c>
      <c r="I60" s="5" t="inlineStr">
        <is>
          <t>P1</t>
        </is>
      </c>
      <c r="J60" s="5" t="inlineStr">
        <is>
          <t>Recruiter</t>
        </is>
      </c>
      <c r="K60" s="5" t="inlineStr">
        <is>
          <t>Automated - UI (fixture)</t>
        </is>
      </c>
      <c r="L60" s="5" t="inlineStr">
        <is>
          <t>MS Graph calendar / Teams</t>
        </is>
      </c>
      <c r="M60" s="5" t="inlineStr">
        <is>
          <t>ATS_TestCases_HRUpload_to_ZekoHR_Updated 2.xlsx</t>
        </is>
      </c>
      <c r="N60" s="5" t="inlineStr">
        <is>
          <t>It Ran fine</t>
        </is>
      </c>
      <c r="O60" s="5" t="inlineStr">
        <is>
          <t>Not Run</t>
        </is>
      </c>
      <c r="P60" s="5" t="inlineStr"/>
      <c r="Q60" s="5" t="inlineStr">
        <is>
          <t>'Verify' resolved from code: rescheduleInterviewRound() calls updateInterviewEventTime() on the existing graph_event_id.</t>
        </is>
      </c>
    </row>
    <row r="61">
      <c r="A61" s="5" t="inlineStr">
        <is>
          <t>T1-13</t>
        </is>
      </c>
      <c r="B61" s="5" t="inlineStr">
        <is>
          <t>Candidate Pipeline</t>
        </is>
      </c>
      <c r="C61" s="5" t="inlineStr">
        <is>
          <t>Technical Round 1</t>
        </is>
      </c>
      <c r="D61" s="5" t="inlineStr">
        <is>
          <t>Cancel a scheduled interview</t>
        </is>
      </c>
      <c r="E61" s="5" t="inlineStr"/>
      <c r="F61" s="5" t="inlineStr">
        <is>
          <t>Click 'Cancel Interview'</t>
        </is>
      </c>
      <c r="G61" s="5" t="inlineStr">
        <is>
          <t>'Confirm Cancel Interview' modal opens; 'Cancel reason (optional)' may be left blank; booking status = cancelled; Teams event cancelled; cancellation notices sent (mailbox check manual)</t>
        </is>
      </c>
      <c r="H61" s="5" t="inlineStr">
        <is>
          <t>Positive</t>
        </is>
      </c>
      <c r="I61" s="5" t="inlineStr">
        <is>
          <t>P1</t>
        </is>
      </c>
      <c r="J61" s="5" t="inlineStr">
        <is>
          <t>Recruiter</t>
        </is>
      </c>
      <c r="K61" s="5" t="inlineStr">
        <is>
          <t>Automated - UI (fixture)</t>
        </is>
      </c>
      <c r="L61" s="5" t="inlineStr">
        <is>
          <t>MS Graph calendar / Teams</t>
        </is>
      </c>
      <c r="M61" s="5" t="inlineStr">
        <is>
          <t>ATS_TestCases_HRUpload_to_ZekoHR_Updated 2.xlsx</t>
        </is>
      </c>
      <c r="N61" s="5" t="inlineStr">
        <is>
          <t>It Ran fine</t>
        </is>
      </c>
      <c r="O61" s="5" t="inlineStr">
        <is>
          <t>Not Run</t>
        </is>
      </c>
      <c r="P61" s="5" t="inlineStr"/>
      <c r="Q61" s="5" t="inlineStr">
        <is>
          <t>'Verify' resolved from code: cancel reason is optional.</t>
        </is>
      </c>
    </row>
    <row r="62">
      <c r="A62" s="5" t="inlineStr">
        <is>
          <t>T1-14</t>
        </is>
      </c>
      <c r="B62" s="5" t="inlineStr">
        <is>
          <t>Candidate Pipeline</t>
        </is>
      </c>
      <c r="C62" s="5" t="inlineStr">
        <is>
          <t>Technical Round 1</t>
        </is>
      </c>
      <c r="D62" s="5" t="inlineStr">
        <is>
          <t>Post-cancel state reverts correctly</t>
        </is>
      </c>
      <c r="E62" s="5" t="inlineStr"/>
      <c r="F62" s="5" t="inlineStr">
        <is>
          <t>After cancelling, re-open the drawer</t>
        </is>
      </c>
      <c r="G62" s="5" t="inlineStr">
        <is>
          <t>"Schedule Interview" step reverts to "In progress" and the green "Schedule Interview" button reappears (not "Reschedule")</t>
        </is>
      </c>
      <c r="H62" s="5" t="inlineStr">
        <is>
          <t>Positive</t>
        </is>
      </c>
      <c r="I62" s="5" t="inlineStr">
        <is>
          <t>P1</t>
        </is>
      </c>
      <c r="J62" s="5" t="inlineStr">
        <is>
          <t>Recruiter</t>
        </is>
      </c>
      <c r="K62" s="5" t="inlineStr">
        <is>
          <t>Automated - UI (fixture)</t>
        </is>
      </c>
      <c r="L62" s="5" t="inlineStr"/>
      <c r="M62" s="5" t="inlineStr">
        <is>
          <t>ATS_TestCases_HRUpload_to_ZekoHR_Updated 2.xlsx</t>
        </is>
      </c>
      <c r="N62" s="5" t="inlineStr">
        <is>
          <t>It Ran fine</t>
        </is>
      </c>
      <c r="O62" s="5" t="inlineStr">
        <is>
          <t>Not Run</t>
        </is>
      </c>
      <c r="P62" s="5" t="inlineStr"/>
      <c r="Q62" s="5" t="inlineStr"/>
    </row>
    <row r="63">
      <c r="A63" s="5" t="inlineStr">
        <is>
          <t>T1-15</t>
        </is>
      </c>
      <c r="B63" s="5" t="inlineStr">
        <is>
          <t>Candidate Pipeline</t>
        </is>
      </c>
      <c r="C63" s="5" t="inlineStr">
        <is>
          <t>Technical Round 1</t>
        </is>
      </c>
      <c r="D63" s="5" t="inlineStr">
        <is>
          <t>Approve/Reject/Hold available before interview is even scheduled</t>
        </is>
      </c>
      <c r="E63" s="5" t="inlineStr"/>
      <c r="F63" s="5" t="inlineStr">
        <is>
          <t>On a candidate at Technical Round 1 with 'Schedule Interview' still 'In progress' (not yet scheduled)</t>
        </is>
      </c>
      <c r="G63" s="5" t="inlineStr">
        <is>
          <t>Approve / Hold / Reject buttons are still active and usable - confirm this is intended, since it lets a recruiter approve a technical round with no interview having happened at all</t>
        </is>
      </c>
      <c r="H63" s="5" t="inlineStr">
        <is>
          <t>Exploratory</t>
        </is>
      </c>
      <c r="I63" s="5" t="inlineStr">
        <is>
          <t>P1</t>
        </is>
      </c>
      <c r="J63" s="5" t="inlineStr">
        <is>
          <t>Recruiter</t>
        </is>
      </c>
      <c r="K63" s="5" t="inlineStr">
        <is>
          <t>Manual - Exploratory</t>
        </is>
      </c>
      <c r="L63" s="5" t="inlineStr"/>
      <c r="M63" s="5" t="inlineStr">
        <is>
          <t>ATS_TestCases_HRUpload_to_ZekoHR_Updated 2.xlsx</t>
        </is>
      </c>
      <c r="N63" s="5" t="inlineStr">
        <is>
          <t>It Ran fine</t>
        </is>
      </c>
      <c r="O63" s="5" t="inlineStr">
        <is>
          <t>Not Run</t>
        </is>
      </c>
      <c r="P63" s="5" t="inlineStr"/>
      <c r="Q63" s="5" t="inlineStr">
        <is>
          <t>Open product question - confirm with RT whether outcome before interview is intended.</t>
        </is>
      </c>
    </row>
    <row r="64">
      <c r="A64" s="5" t="inlineStr">
        <is>
          <t>T1-16</t>
        </is>
      </c>
      <c r="B64" s="5" t="inlineStr">
        <is>
          <t>Candidate Pipeline</t>
        </is>
      </c>
      <c r="C64" s="5" t="inlineStr">
        <is>
          <t>Technical Round 1</t>
        </is>
      </c>
      <c r="D64" s="5" t="inlineStr">
        <is>
          <t>Approve</t>
        </is>
      </c>
      <c r="E64" s="5" t="inlineStr"/>
      <c r="F64" s="5" t="inlineStr">
        <is>
          <t>Record outcome -&gt; Approve</t>
        </is>
      </c>
      <c r="G64" s="5" t="inlineStr">
        <is>
          <t>Advances to "Technical Round 2"; label = "Technical Round 1 Approved"; email sent</t>
        </is>
      </c>
      <c r="H64" s="5" t="inlineStr">
        <is>
          <t>Positive</t>
        </is>
      </c>
      <c r="I64" s="5" t="inlineStr">
        <is>
          <t>P1</t>
        </is>
      </c>
      <c r="J64" s="5" t="inlineStr">
        <is>
          <t>Recruiter</t>
        </is>
      </c>
      <c r="K64" s="5" t="inlineStr">
        <is>
          <t>Automated - UI (fixture)</t>
        </is>
      </c>
      <c r="L64" s="5" t="inlineStr">
        <is>
          <t>MS Graph mail (delivery check only)</t>
        </is>
      </c>
      <c r="M64" s="5" t="inlineStr">
        <is>
          <t>ATS_TestCases_HRUpload_to_ZekoHR_Updated 2.xlsx</t>
        </is>
      </c>
      <c r="N64" s="5" t="inlineStr">
        <is>
          <t>It Ran fine</t>
        </is>
      </c>
      <c r="O64" s="5" t="inlineStr">
        <is>
          <t>Not Run</t>
        </is>
      </c>
      <c r="P64" s="5" t="inlineStr"/>
      <c r="Q64" s="5" t="inlineStr"/>
    </row>
    <row r="65">
      <c r="A65" s="5" t="inlineStr">
        <is>
          <t>T1-17</t>
        </is>
      </c>
      <c r="B65" s="5" t="inlineStr">
        <is>
          <t>Candidate Pipeline</t>
        </is>
      </c>
      <c r="C65" s="5" t="inlineStr">
        <is>
          <t>Technical Round 1</t>
        </is>
      </c>
      <c r="D65" s="5" t="inlineStr">
        <is>
          <t>Reject without a valid reason</t>
        </is>
      </c>
      <c r="E65" s="5" t="inlineStr"/>
      <c r="F65" s="5" t="inlineStr">
        <is>
          <t>Reject -&gt; submit with no reason</t>
        </is>
      </c>
      <c r="G65" s="5" t="inlineStr">
        <is>
          <t>Blocked: reason is mandatory</t>
        </is>
      </c>
      <c r="H65" s="5" t="inlineStr">
        <is>
          <t>Negative</t>
        </is>
      </c>
      <c r="I65" s="5" t="inlineStr">
        <is>
          <t>P1</t>
        </is>
      </c>
      <c r="J65" s="5" t="inlineStr">
        <is>
          <t>Recruiter</t>
        </is>
      </c>
      <c r="K65" s="5" t="inlineStr">
        <is>
          <t>Automated - UI (fixture)</t>
        </is>
      </c>
      <c r="L65" s="5" t="inlineStr">
        <is>
          <t>MS Graph mail (delivery check only)</t>
        </is>
      </c>
      <c r="M65" s="5" t="inlineStr">
        <is>
          <t>ATS_TestCases_HRUpload_to_ZekoHR_Updated 2.xlsx</t>
        </is>
      </c>
      <c r="N65" s="5" t="inlineStr">
        <is>
          <t>It Ran fine</t>
        </is>
      </c>
      <c r="O65" s="5" t="inlineStr">
        <is>
          <t>Not Run</t>
        </is>
      </c>
      <c r="P65" s="5" t="inlineStr"/>
      <c r="Q65" s="5" t="inlineStr"/>
    </row>
    <row r="66">
      <c r="A66" s="5" t="inlineStr">
        <is>
          <t>T1-18</t>
        </is>
      </c>
      <c r="B66" s="5" t="inlineStr">
        <is>
          <t>Candidate Pipeline</t>
        </is>
      </c>
      <c r="C66" s="5" t="inlineStr">
        <is>
          <t>Technical Round 1</t>
        </is>
      </c>
      <c r="D66" s="5" t="inlineStr">
        <is>
          <t>Reject with a valid reason</t>
        </is>
      </c>
      <c r="E66" s="5" t="inlineStr"/>
      <c r="F66" s="5" t="inlineStr">
        <is>
          <t>Reject -&gt; pick reason -&gt; submit</t>
        </is>
      </c>
      <c r="G66" s="5" t="inlineStr">
        <is>
          <t>Stays at same stage; status = rejected; label = "Technical Round 1 Rejected"; email sent</t>
        </is>
      </c>
      <c r="H66" s="5" t="inlineStr">
        <is>
          <t>Positive</t>
        </is>
      </c>
      <c r="I66" s="5" t="inlineStr">
        <is>
          <t>P1</t>
        </is>
      </c>
      <c r="J66" s="5" t="inlineStr">
        <is>
          <t>Recruiter</t>
        </is>
      </c>
      <c r="K66" s="5" t="inlineStr">
        <is>
          <t>Automated - UI (fixture)</t>
        </is>
      </c>
      <c r="L66" s="5" t="inlineStr">
        <is>
          <t>MS Graph mail (delivery check only)</t>
        </is>
      </c>
      <c r="M66" s="5" t="inlineStr">
        <is>
          <t>ATS_TestCases_HRUpload_to_ZekoHR_Updated 2.xlsx</t>
        </is>
      </c>
      <c r="N66" s="5" t="inlineStr">
        <is>
          <t>It Ran fine</t>
        </is>
      </c>
      <c r="O66" s="5" t="inlineStr">
        <is>
          <t>Not Run</t>
        </is>
      </c>
      <c r="P66" s="5" t="inlineStr"/>
      <c r="Q66" s="5" t="inlineStr"/>
    </row>
    <row r="67">
      <c r="A67" s="5" t="inlineStr">
        <is>
          <t>T1-19</t>
        </is>
      </c>
      <c r="B67" s="5" t="inlineStr">
        <is>
          <t>Candidate Pipeline</t>
        </is>
      </c>
      <c r="C67" s="5" t="inlineStr">
        <is>
          <t>Technical Round 1</t>
        </is>
      </c>
      <c r="D67" s="5" t="inlineStr">
        <is>
          <t>Hold with a valid reason</t>
        </is>
      </c>
      <c r="E67" s="5" t="inlineStr"/>
      <c r="F67" s="5" t="inlineStr">
        <is>
          <t>Hold -&gt; pick reason -&gt; submit</t>
        </is>
      </c>
      <c r="G67" s="5" t="inlineStr">
        <is>
          <t>Stays at same stage; status = hold</t>
        </is>
      </c>
      <c r="H67" s="5" t="inlineStr">
        <is>
          <t>Positive</t>
        </is>
      </c>
      <c r="I67" s="5" t="inlineStr">
        <is>
          <t>P1</t>
        </is>
      </c>
      <c r="J67" s="5" t="inlineStr">
        <is>
          <t>Recruiter</t>
        </is>
      </c>
      <c r="K67" s="5" t="inlineStr">
        <is>
          <t>Automated - UI (fixture)</t>
        </is>
      </c>
      <c r="L67" s="5" t="inlineStr">
        <is>
          <t>MS Graph mail (delivery check only)</t>
        </is>
      </c>
      <c r="M67" s="5" t="inlineStr">
        <is>
          <t>ATS_TestCases_HRUpload_to_ZekoHR_Updated 2.xlsx</t>
        </is>
      </c>
      <c r="N67" s="5" t="inlineStr">
        <is>
          <t>It Ran fine</t>
        </is>
      </c>
      <c r="O67" s="5" t="inlineStr">
        <is>
          <t>Not Run</t>
        </is>
      </c>
      <c r="P67" s="5" t="inlineStr"/>
      <c r="Q67" s="5" t="inlineStr"/>
    </row>
    <row r="68">
      <c r="A68" s="5" t="inlineStr">
        <is>
          <t>T1-20</t>
        </is>
      </c>
      <c r="B68" s="5" t="inlineStr">
        <is>
          <t>Candidate Pipeline</t>
        </is>
      </c>
      <c r="C68" s="5" t="inlineStr">
        <is>
          <t>Technical Round 1</t>
        </is>
      </c>
      <c r="D68" s="5" t="inlineStr">
        <is>
          <t>Preview outcome email</t>
        </is>
      </c>
      <c r="E68" s="5" t="inlineStr"/>
      <c r="F68" s="5" t="inlineStr">
        <is>
          <t>Open outcome preview for "approved"</t>
        </is>
      </c>
      <c r="G68" s="5" t="inlineStr">
        <is>
          <t>Returns compiled content, no send</t>
        </is>
      </c>
      <c r="H68" s="5" t="inlineStr">
        <is>
          <t>Positive</t>
        </is>
      </c>
      <c r="I68" s="5" t="inlineStr">
        <is>
          <t>P1</t>
        </is>
      </c>
      <c r="J68" s="5" t="inlineStr">
        <is>
          <t>Recruiter</t>
        </is>
      </c>
      <c r="K68" s="5" t="inlineStr">
        <is>
          <t>Automated - UI (fixture)</t>
        </is>
      </c>
      <c r="L68" s="5" t="inlineStr"/>
      <c r="M68" s="5" t="inlineStr">
        <is>
          <t>ATS_TestCases_HRUpload_to_ZekoHR_Updated 2.xlsx</t>
        </is>
      </c>
      <c r="N68" s="5" t="inlineStr">
        <is>
          <t>It Ran fine</t>
        </is>
      </c>
      <c r="O68" s="5" t="inlineStr">
        <is>
          <t>Not Run</t>
        </is>
      </c>
      <c r="P68" s="5" t="inlineStr"/>
      <c r="Q68" s="5" t="inlineStr"/>
    </row>
    <row r="69">
      <c r="A69" s="5" t="inlineStr">
        <is>
          <t>T2-01</t>
        </is>
      </c>
      <c r="B69" s="5" t="inlineStr">
        <is>
          <t>Candidate Pipeline</t>
        </is>
      </c>
      <c r="C69" s="5" t="inlineStr">
        <is>
          <t>Technical Round 2</t>
        </is>
      </c>
      <c r="D69" s="5" t="inlineStr">
        <is>
          <t>Candidate enters stage</t>
        </is>
      </c>
      <c r="E69" s="5" t="inlineStr"/>
      <c r="F69" s="5" t="inlineStr">
        <is>
          <t>Approve at Technical Round 1</t>
        </is>
      </c>
      <c r="G69" s="5" t="inlineStr">
        <is>
          <t>Card moves to "Technical Round 2" column</t>
        </is>
      </c>
      <c r="H69" s="5" t="inlineStr">
        <is>
          <t>Positive</t>
        </is>
      </c>
      <c r="I69" s="5" t="inlineStr">
        <is>
          <t>P2</t>
        </is>
      </c>
      <c r="J69" s="5" t="inlineStr">
        <is>
          <t>Recruiter</t>
        </is>
      </c>
      <c r="K69" s="5" t="inlineStr">
        <is>
          <t>Automated - UI (fixture)</t>
        </is>
      </c>
      <c r="L69" s="5" t="inlineStr">
        <is>
          <t>MS Graph mail (delivery check only)</t>
        </is>
      </c>
      <c r="M69" s="5" t="inlineStr">
        <is>
          <t>ATS_TestCases_HRUpload_to_ZekoHR_Updated 2.xlsx</t>
        </is>
      </c>
      <c r="N69" s="5" t="inlineStr">
        <is>
          <t>It Ran fine</t>
        </is>
      </c>
      <c r="O69" s="5" t="inlineStr">
        <is>
          <t>Not Run</t>
        </is>
      </c>
      <c r="P69" s="5" t="inlineStr"/>
      <c r="Q69" s="5" t="inlineStr"/>
    </row>
    <row r="70">
      <c r="A70" s="5" t="inlineStr">
        <is>
          <t>T2-02</t>
        </is>
      </c>
      <c r="B70" s="5" t="inlineStr">
        <is>
          <t>Candidate Pipeline</t>
        </is>
      </c>
      <c r="C70" s="5" t="inlineStr">
        <is>
          <t>Technical Round 2</t>
        </is>
      </c>
      <c r="D70" s="5" t="inlineStr">
        <is>
          <t xml:space="preserve">Test the same as Tech round 1 </t>
        </is>
      </c>
      <c r="E70" s="5" t="inlineStr"/>
      <c r="F70" s="5" t="inlineStr">
        <is>
          <t xml:space="preserve">Do the same process as what in Tech Round 1 </t>
        </is>
      </c>
      <c r="G70" s="5" t="inlineStr">
        <is>
          <t>Same result as what we get in Tech Round 1</t>
        </is>
      </c>
      <c r="H70" s="5" t="inlineStr">
        <is>
          <t>Positive</t>
        </is>
      </c>
      <c r="I70" s="5" t="inlineStr">
        <is>
          <t>P2</t>
        </is>
      </c>
      <c r="J70" s="5" t="inlineStr">
        <is>
          <t>Recruiter</t>
        </is>
      </c>
      <c r="K70" s="5" t="inlineStr">
        <is>
          <t>Automated - UI (fixture)</t>
        </is>
      </c>
      <c r="L70" s="5" t="inlineStr">
        <is>
          <t>MS Graph mail (delivery check only)</t>
        </is>
      </c>
      <c r="M70" s="5" t="inlineStr">
        <is>
          <t>ATS_TestCases_HRUpload_to_ZekoHR_Updated 2.xlsx</t>
        </is>
      </c>
      <c r="N70" s="5" t="inlineStr">
        <is>
          <t>It Ran fine</t>
        </is>
      </c>
      <c r="O70" s="5" t="inlineStr">
        <is>
          <t>Not Run</t>
        </is>
      </c>
      <c r="P70" s="5" t="inlineStr"/>
      <c r="Q70" s="5" t="inlineStr">
        <is>
          <t>Covered by repeating T1-02..T1-15 on Technical Round 2.</t>
        </is>
      </c>
    </row>
    <row r="71">
      <c r="A71" s="5" t="inlineStr">
        <is>
          <t>T2-03</t>
        </is>
      </c>
      <c r="B71" s="5" t="inlineStr">
        <is>
          <t>Candidate Pipeline</t>
        </is>
      </c>
      <c r="C71" s="5" t="inlineStr">
        <is>
          <t>Technical Round 2</t>
        </is>
      </c>
      <c r="D71" s="5" t="inlineStr">
        <is>
          <t>Approve</t>
        </is>
      </c>
      <c r="E71" s="5" t="inlineStr"/>
      <c r="F71" s="5" t="inlineStr">
        <is>
          <t>Record outcome -&gt; Approve</t>
        </is>
      </c>
      <c r="G71" s="5" t="inlineStr">
        <is>
          <t>Advances to "Technical Round 3"; label = "Technical Round 2 Approved"; email sent</t>
        </is>
      </c>
      <c r="H71" s="5" t="inlineStr">
        <is>
          <t>Positive</t>
        </is>
      </c>
      <c r="I71" s="5" t="inlineStr">
        <is>
          <t>P2</t>
        </is>
      </c>
      <c r="J71" s="5" t="inlineStr">
        <is>
          <t>Recruiter</t>
        </is>
      </c>
      <c r="K71" s="5" t="inlineStr">
        <is>
          <t>Automated - UI (fixture)</t>
        </is>
      </c>
      <c r="L71" s="5" t="inlineStr">
        <is>
          <t>MS Graph mail (delivery check only)</t>
        </is>
      </c>
      <c r="M71" s="5" t="inlineStr">
        <is>
          <t>ATS_TestCases_HRUpload_to_ZekoHR_Updated 2.xlsx</t>
        </is>
      </c>
      <c r="N71" s="5" t="inlineStr">
        <is>
          <t>It Ran fine</t>
        </is>
      </c>
      <c r="O71" s="5" t="inlineStr">
        <is>
          <t>Not Run</t>
        </is>
      </c>
      <c r="P71" s="5" t="inlineStr"/>
      <c r="Q71" s="5" t="inlineStr"/>
    </row>
    <row r="72">
      <c r="A72" s="5" t="inlineStr">
        <is>
          <t>T2-04</t>
        </is>
      </c>
      <c r="B72" s="5" t="inlineStr">
        <is>
          <t>Candidate Pipeline</t>
        </is>
      </c>
      <c r="C72" s="5" t="inlineStr">
        <is>
          <t>Technical Round 2</t>
        </is>
      </c>
      <c r="D72" s="5" t="inlineStr">
        <is>
          <t>Reject without a valid reason</t>
        </is>
      </c>
      <c r="E72" s="5" t="inlineStr"/>
      <c r="F72" s="5" t="inlineStr">
        <is>
          <t>Reject -&gt; submit with no reason</t>
        </is>
      </c>
      <c r="G72" s="5" t="inlineStr">
        <is>
          <t>Blocked: reason is mandatory</t>
        </is>
      </c>
      <c r="H72" s="5" t="inlineStr">
        <is>
          <t>Negative</t>
        </is>
      </c>
      <c r="I72" s="5" t="inlineStr">
        <is>
          <t>P2</t>
        </is>
      </c>
      <c r="J72" s="5" t="inlineStr">
        <is>
          <t>Recruiter</t>
        </is>
      </c>
      <c r="K72" s="5" t="inlineStr">
        <is>
          <t>Automated - UI (fixture)</t>
        </is>
      </c>
      <c r="L72" s="5" t="inlineStr">
        <is>
          <t>MS Graph mail (delivery check only)</t>
        </is>
      </c>
      <c r="M72" s="5" t="inlineStr">
        <is>
          <t>ATS_TestCases_HRUpload_to_ZekoHR_Updated 2.xlsx</t>
        </is>
      </c>
      <c r="N72" s="5" t="inlineStr">
        <is>
          <t>It Ran fine</t>
        </is>
      </c>
      <c r="O72" s="5" t="inlineStr">
        <is>
          <t>Not Run</t>
        </is>
      </c>
      <c r="P72" s="5" t="inlineStr"/>
      <c r="Q72" s="5" t="inlineStr"/>
    </row>
    <row r="73">
      <c r="A73" s="5" t="inlineStr">
        <is>
          <t>T2-05</t>
        </is>
      </c>
      <c r="B73" s="5" t="inlineStr">
        <is>
          <t>Candidate Pipeline</t>
        </is>
      </c>
      <c r="C73" s="5" t="inlineStr">
        <is>
          <t>Technical Round 2</t>
        </is>
      </c>
      <c r="D73" s="5" t="inlineStr">
        <is>
          <t>Reject with a valid reason</t>
        </is>
      </c>
      <c r="E73" s="5" t="inlineStr"/>
      <c r="F73" s="5" t="inlineStr">
        <is>
          <t>Reject -&gt; pick reason -&gt; submit</t>
        </is>
      </c>
      <c r="G73" s="5" t="inlineStr">
        <is>
          <t>Stays at same stage; status = rejected; label = "Technical Round 2 Rejected"; email sent</t>
        </is>
      </c>
      <c r="H73" s="5" t="inlineStr">
        <is>
          <t>Positive</t>
        </is>
      </c>
      <c r="I73" s="5" t="inlineStr">
        <is>
          <t>P2</t>
        </is>
      </c>
      <c r="J73" s="5" t="inlineStr">
        <is>
          <t>Recruiter</t>
        </is>
      </c>
      <c r="K73" s="5" t="inlineStr">
        <is>
          <t>Automated - UI (fixture)</t>
        </is>
      </c>
      <c r="L73" s="5" t="inlineStr">
        <is>
          <t>MS Graph mail (delivery check only)</t>
        </is>
      </c>
      <c r="M73" s="5" t="inlineStr">
        <is>
          <t>ATS_TestCases_HRUpload_to_ZekoHR_Updated 2.xlsx</t>
        </is>
      </c>
      <c r="N73" s="5" t="inlineStr">
        <is>
          <t>It Ran fine</t>
        </is>
      </c>
      <c r="O73" s="5" t="inlineStr">
        <is>
          <t>Not Run</t>
        </is>
      </c>
      <c r="P73" s="5" t="inlineStr"/>
      <c r="Q73" s="5" t="inlineStr"/>
    </row>
    <row r="74">
      <c r="A74" s="5" t="inlineStr">
        <is>
          <t>T2-06</t>
        </is>
      </c>
      <c r="B74" s="5" t="inlineStr">
        <is>
          <t>Candidate Pipeline</t>
        </is>
      </c>
      <c r="C74" s="5" t="inlineStr">
        <is>
          <t>Technical Round 2</t>
        </is>
      </c>
      <c r="D74" s="5" t="inlineStr">
        <is>
          <t>Hold with a valid reason</t>
        </is>
      </c>
      <c r="E74" s="5" t="inlineStr"/>
      <c r="F74" s="5" t="inlineStr">
        <is>
          <t>Hold -&gt; pick reason -&gt; submit</t>
        </is>
      </c>
      <c r="G74" s="5" t="inlineStr">
        <is>
          <t>Stays at same stage; status = hold</t>
        </is>
      </c>
      <c r="H74" s="5" t="inlineStr">
        <is>
          <t>Positive</t>
        </is>
      </c>
      <c r="I74" s="5" t="inlineStr">
        <is>
          <t>P2</t>
        </is>
      </c>
      <c r="J74" s="5" t="inlineStr">
        <is>
          <t>Recruiter</t>
        </is>
      </c>
      <c r="K74" s="5" t="inlineStr">
        <is>
          <t>Automated - UI (fixture)</t>
        </is>
      </c>
      <c r="L74" s="5" t="inlineStr">
        <is>
          <t>MS Graph mail (delivery check only)</t>
        </is>
      </c>
      <c r="M74" s="5" t="inlineStr">
        <is>
          <t>ATS_TestCases_HRUpload_to_ZekoHR_Updated 2.xlsx</t>
        </is>
      </c>
      <c r="N74" s="5" t="inlineStr">
        <is>
          <t>It Ran fine</t>
        </is>
      </c>
      <c r="O74" s="5" t="inlineStr">
        <is>
          <t>Not Run</t>
        </is>
      </c>
      <c r="P74" s="5" t="inlineStr"/>
      <c r="Q74" s="5" t="inlineStr"/>
    </row>
    <row r="75">
      <c r="A75" s="5" t="inlineStr">
        <is>
          <t>T2-07</t>
        </is>
      </c>
      <c r="B75" s="5" t="inlineStr">
        <is>
          <t>Candidate Pipeline</t>
        </is>
      </c>
      <c r="C75" s="5" t="inlineStr">
        <is>
          <t>Technical Round 2</t>
        </is>
      </c>
      <c r="D75" s="5" t="inlineStr">
        <is>
          <t>Preview outcome email</t>
        </is>
      </c>
      <c r="E75" s="5" t="inlineStr"/>
      <c r="F75" s="5" t="inlineStr">
        <is>
          <t>Open outcome preview for "approved"</t>
        </is>
      </c>
      <c r="G75" s="5" t="inlineStr">
        <is>
          <t>Returns compiled content, no send</t>
        </is>
      </c>
      <c r="H75" s="5" t="inlineStr">
        <is>
          <t>Positive</t>
        </is>
      </c>
      <c r="I75" s="5" t="inlineStr">
        <is>
          <t>P2</t>
        </is>
      </c>
      <c r="J75" s="5" t="inlineStr">
        <is>
          <t>Recruiter</t>
        </is>
      </c>
      <c r="K75" s="5" t="inlineStr">
        <is>
          <t>Automated - UI (fixture)</t>
        </is>
      </c>
      <c r="L75" s="5" t="inlineStr"/>
      <c r="M75" s="5" t="inlineStr">
        <is>
          <t>ATS_TestCases_HRUpload_to_ZekoHR_Updated 2.xlsx</t>
        </is>
      </c>
      <c r="N75" s="5" t="inlineStr">
        <is>
          <t>It Ran fine</t>
        </is>
      </c>
      <c r="O75" s="5" t="inlineStr">
        <is>
          <t>Not Run</t>
        </is>
      </c>
      <c r="P75" s="5" t="inlineStr"/>
      <c r="Q75" s="5" t="inlineStr"/>
    </row>
    <row r="76">
      <c r="A76" s="5" t="inlineStr">
        <is>
          <t>T3-01</t>
        </is>
      </c>
      <c r="B76" s="5" t="inlineStr">
        <is>
          <t>Candidate Pipeline</t>
        </is>
      </c>
      <c r="C76" s="5" t="inlineStr">
        <is>
          <t>Technical Round 3 (Optional)</t>
        </is>
      </c>
      <c r="D76" s="5" t="inlineStr">
        <is>
          <t>Candidate enters stage</t>
        </is>
      </c>
      <c r="E76" s="5" t="inlineStr"/>
      <c r="F76" s="5" t="inlineStr">
        <is>
          <t>Approve at Technical Round 2</t>
        </is>
      </c>
      <c r="G76" s="5" t="inlineStr">
        <is>
          <t>Card moves to "Technical Round 3" column (approving the prior stage does NOT auto-skip this optional one)</t>
        </is>
      </c>
      <c r="H76" s="5" t="inlineStr">
        <is>
          <t>Positive</t>
        </is>
      </c>
      <c r="I76" s="5" t="inlineStr">
        <is>
          <t>P2</t>
        </is>
      </c>
      <c r="J76" s="5" t="inlineStr">
        <is>
          <t>Recruiter</t>
        </is>
      </c>
      <c r="K76" s="5" t="inlineStr">
        <is>
          <t>Automated - UI (fixture)</t>
        </is>
      </c>
      <c r="L76" s="5" t="inlineStr">
        <is>
          <t>MS Graph mail (delivery check only)</t>
        </is>
      </c>
      <c r="M76" s="5" t="inlineStr">
        <is>
          <t>ATS_TestCases_HRUpload_to_ZekoHR_Updated 2.xlsx</t>
        </is>
      </c>
      <c r="N76" s="5" t="inlineStr">
        <is>
          <t>It Ran fine</t>
        </is>
      </c>
      <c r="O76" s="5" t="inlineStr">
        <is>
          <t>Not Run</t>
        </is>
      </c>
      <c r="P76" s="5" t="inlineStr"/>
      <c r="Q76" s="5" t="inlineStr"/>
    </row>
    <row r="77">
      <c r="A77" s="5" t="inlineStr">
        <is>
          <t>T3-02</t>
        </is>
      </c>
      <c r="B77" s="5" t="inlineStr">
        <is>
          <t>Candidate Pipeline</t>
        </is>
      </c>
      <c r="C77" s="5" t="inlineStr">
        <is>
          <t>Technical Round 3 (Optional)</t>
        </is>
      </c>
      <c r="D77" s="5" t="inlineStr">
        <is>
          <t>Test the same as Tech round 1 and 2</t>
        </is>
      </c>
      <c r="E77" s="5" t="inlineStr"/>
      <c r="F77" s="5" t="inlineStr">
        <is>
          <t>Do the same process as what in Tech Round 1 and 2</t>
        </is>
      </c>
      <c r="G77" s="5" t="inlineStr">
        <is>
          <t>Same result as what we get in Tech Round 1 and 2</t>
        </is>
      </c>
      <c r="H77" s="5" t="inlineStr">
        <is>
          <t>Positive</t>
        </is>
      </c>
      <c r="I77" s="5" t="inlineStr">
        <is>
          <t>P2</t>
        </is>
      </c>
      <c r="J77" s="5" t="inlineStr">
        <is>
          <t>Recruiter</t>
        </is>
      </c>
      <c r="K77" s="5" t="inlineStr">
        <is>
          <t>Automated - UI (fixture)</t>
        </is>
      </c>
      <c r="L77" s="5" t="inlineStr">
        <is>
          <t>MS Graph mail (delivery check only)</t>
        </is>
      </c>
      <c r="M77" s="5" t="inlineStr">
        <is>
          <t>ATS_TestCases_HRUpload_to_ZekoHR_Updated 2.xlsx</t>
        </is>
      </c>
      <c r="N77" s="5" t="inlineStr">
        <is>
          <t>It Ran fine</t>
        </is>
      </c>
      <c r="O77" s="5" t="inlineStr">
        <is>
          <t>Not Run</t>
        </is>
      </c>
      <c r="P77" s="5" t="inlineStr"/>
      <c r="Q77" s="5" t="inlineStr">
        <is>
          <t>Covered by repeating T1-02..T1-15 on Technical Round 3.</t>
        </is>
      </c>
    </row>
    <row r="78">
      <c r="A78" s="5" t="inlineStr">
        <is>
          <t>T3-03</t>
        </is>
      </c>
      <c r="B78" s="5" t="inlineStr">
        <is>
          <t>Candidate Pipeline</t>
        </is>
      </c>
      <c r="C78" s="5" t="inlineStr">
        <is>
          <t>Technical Round 3 (Optional)</t>
        </is>
      </c>
      <c r="D78" s="5" t="inlineStr">
        <is>
          <t>Approve</t>
        </is>
      </c>
      <c r="E78" s="5" t="inlineStr"/>
      <c r="F78" s="5" t="inlineStr">
        <is>
          <t>Record outcome -&gt; Approve</t>
        </is>
      </c>
      <c r="G78" s="5" t="inlineStr">
        <is>
          <t>Advances to 'HR Round'; label = 'Technical Round 3 Approved'; email sent</t>
        </is>
      </c>
      <c r="H78" s="5" t="inlineStr">
        <is>
          <t>Positive</t>
        </is>
      </c>
      <c r="I78" s="5" t="inlineStr">
        <is>
          <t>P2</t>
        </is>
      </c>
      <c r="J78" s="5" t="inlineStr">
        <is>
          <t>Recruiter</t>
        </is>
      </c>
      <c r="K78" s="5" t="inlineStr">
        <is>
          <t>Automated - UI (fixture)</t>
        </is>
      </c>
      <c r="L78" s="5" t="inlineStr">
        <is>
          <t>MS Graph mail (delivery check only)</t>
        </is>
      </c>
      <c r="M78" s="5" t="inlineStr">
        <is>
          <t>ATS_TestCases_HRUpload_to_ZekoHR_Updated 2.xlsx</t>
        </is>
      </c>
      <c r="N78" s="5" t="inlineStr">
        <is>
          <t>It Ran fine</t>
        </is>
      </c>
      <c r="O78" s="5" t="inlineStr">
        <is>
          <t>Not Run</t>
        </is>
      </c>
      <c r="P78" s="5" t="inlineStr"/>
      <c r="Q78" s="5" t="inlineStr">
        <is>
          <t>Expected result was a copy of the steps; corrected.</t>
        </is>
      </c>
    </row>
    <row r="79">
      <c r="A79" s="5" t="inlineStr">
        <is>
          <t>T3-04</t>
        </is>
      </c>
      <c r="B79" s="5" t="inlineStr">
        <is>
          <t>Candidate Pipeline</t>
        </is>
      </c>
      <c r="C79" s="5" t="inlineStr">
        <is>
          <t>Technical Round 3 (Optional)</t>
        </is>
      </c>
      <c r="D79" s="5" t="inlineStr">
        <is>
          <t>Reject without a valid reason</t>
        </is>
      </c>
      <c r="E79" s="5" t="inlineStr"/>
      <c r="F79" s="5" t="inlineStr">
        <is>
          <t>Reject -&gt; submit with no reason</t>
        </is>
      </c>
      <c r="G79" s="5" t="inlineStr">
        <is>
          <t>Blocked: reason is mandatory</t>
        </is>
      </c>
      <c r="H79" s="5" t="inlineStr">
        <is>
          <t>Negative</t>
        </is>
      </c>
      <c r="I79" s="5" t="inlineStr">
        <is>
          <t>P2</t>
        </is>
      </c>
      <c r="J79" s="5" t="inlineStr">
        <is>
          <t>Recruiter</t>
        </is>
      </c>
      <c r="K79" s="5" t="inlineStr">
        <is>
          <t>Automated - UI (fixture)</t>
        </is>
      </c>
      <c r="L79" s="5" t="inlineStr">
        <is>
          <t>MS Graph mail (delivery check only)</t>
        </is>
      </c>
      <c r="M79" s="5" t="inlineStr">
        <is>
          <t>ATS_TestCases_HRUpload_to_ZekoHR_Updated 2.xlsx</t>
        </is>
      </c>
      <c r="N79" s="5" t="inlineStr">
        <is>
          <t>It Ran fine</t>
        </is>
      </c>
      <c r="O79" s="5" t="inlineStr">
        <is>
          <t>Not Run</t>
        </is>
      </c>
      <c r="P79" s="5" t="inlineStr"/>
      <c r="Q79" s="5" t="inlineStr"/>
    </row>
    <row r="80">
      <c r="A80" s="5" t="inlineStr">
        <is>
          <t>T3-05</t>
        </is>
      </c>
      <c r="B80" s="5" t="inlineStr">
        <is>
          <t>Candidate Pipeline</t>
        </is>
      </c>
      <c r="C80" s="5" t="inlineStr">
        <is>
          <t>Technical Round 3 (Optional)</t>
        </is>
      </c>
      <c r="D80" s="5" t="inlineStr">
        <is>
          <t>Reject with a valid reason</t>
        </is>
      </c>
      <c r="E80" s="5" t="inlineStr"/>
      <c r="F80" s="5" t="inlineStr">
        <is>
          <t>Reject -&gt; pick reason -&gt; submit</t>
        </is>
      </c>
      <c r="G80" s="5" t="inlineStr">
        <is>
          <t>Stays at same stage; status = rejected; label = "Technical Round 3 Rejected"; email sent</t>
        </is>
      </c>
      <c r="H80" s="5" t="inlineStr">
        <is>
          <t>Positive</t>
        </is>
      </c>
      <c r="I80" s="5" t="inlineStr">
        <is>
          <t>P2</t>
        </is>
      </c>
      <c r="J80" s="5" t="inlineStr">
        <is>
          <t>Recruiter</t>
        </is>
      </c>
      <c r="K80" s="5" t="inlineStr">
        <is>
          <t>Automated - UI (fixture)</t>
        </is>
      </c>
      <c r="L80" s="5" t="inlineStr">
        <is>
          <t>MS Graph mail (delivery check only)</t>
        </is>
      </c>
      <c r="M80" s="5" t="inlineStr">
        <is>
          <t>ATS_TestCases_HRUpload_to_ZekoHR_Updated 2.xlsx</t>
        </is>
      </c>
      <c r="N80" s="5" t="inlineStr">
        <is>
          <t>It Ran fine</t>
        </is>
      </c>
      <c r="O80" s="5" t="inlineStr">
        <is>
          <t>Not Run</t>
        </is>
      </c>
      <c r="P80" s="5" t="inlineStr"/>
      <c r="Q80" s="5" t="inlineStr"/>
    </row>
    <row r="81">
      <c r="A81" s="5" t="inlineStr">
        <is>
          <t>T3-06</t>
        </is>
      </c>
      <c r="B81" s="5" t="inlineStr">
        <is>
          <t>Candidate Pipeline</t>
        </is>
      </c>
      <c r="C81" s="5" t="inlineStr">
        <is>
          <t>Technical Round 3 (Optional)</t>
        </is>
      </c>
      <c r="D81" s="5" t="inlineStr">
        <is>
          <t>Hold with a valid reason</t>
        </is>
      </c>
      <c r="E81" s="5" t="inlineStr"/>
      <c r="F81" s="5" t="inlineStr">
        <is>
          <t>Hold -&gt; pick reason -&gt; submit</t>
        </is>
      </c>
      <c r="G81" s="5" t="inlineStr">
        <is>
          <t>Stays at same stage; status = hold</t>
        </is>
      </c>
      <c r="H81" s="5" t="inlineStr">
        <is>
          <t>Positive</t>
        </is>
      </c>
      <c r="I81" s="5" t="inlineStr">
        <is>
          <t>P2</t>
        </is>
      </c>
      <c r="J81" s="5" t="inlineStr">
        <is>
          <t>Recruiter</t>
        </is>
      </c>
      <c r="K81" s="5" t="inlineStr">
        <is>
          <t>Automated - UI (fixture)</t>
        </is>
      </c>
      <c r="L81" s="5" t="inlineStr">
        <is>
          <t>MS Graph mail (delivery check only)</t>
        </is>
      </c>
      <c r="M81" s="5" t="inlineStr">
        <is>
          <t>ATS_TestCases_HRUpload_to_ZekoHR_Updated 2.xlsx</t>
        </is>
      </c>
      <c r="N81" s="5" t="inlineStr">
        <is>
          <t>It Ran fine</t>
        </is>
      </c>
      <c r="O81" s="5" t="inlineStr">
        <is>
          <t>Not Run</t>
        </is>
      </c>
      <c r="P81" s="5" t="inlineStr"/>
      <c r="Q81" s="5" t="inlineStr"/>
    </row>
    <row r="82">
      <c r="A82" s="5" t="inlineStr">
        <is>
          <t>T3-07</t>
        </is>
      </c>
      <c r="B82" s="5" t="inlineStr">
        <is>
          <t>Candidate Pipeline</t>
        </is>
      </c>
      <c r="C82" s="5" t="inlineStr">
        <is>
          <t>Technical Round 3 (Optional)</t>
        </is>
      </c>
      <c r="D82" s="5" t="inlineStr">
        <is>
          <t>Preview outcome email</t>
        </is>
      </c>
      <c r="E82" s="5" t="inlineStr"/>
      <c r="F82" s="5" t="inlineStr">
        <is>
          <t>Open outcome preview for "approved"</t>
        </is>
      </c>
      <c r="G82" s="5" t="inlineStr">
        <is>
          <t>Returns compiled content, no send</t>
        </is>
      </c>
      <c r="H82" s="5" t="inlineStr">
        <is>
          <t>Positive</t>
        </is>
      </c>
      <c r="I82" s="5" t="inlineStr">
        <is>
          <t>P2</t>
        </is>
      </c>
      <c r="J82" s="5" t="inlineStr">
        <is>
          <t>Recruiter</t>
        </is>
      </c>
      <c r="K82" s="5" t="inlineStr">
        <is>
          <t>Automated - UI (fixture)</t>
        </is>
      </c>
      <c r="L82" s="5" t="inlineStr"/>
      <c r="M82" s="5" t="inlineStr">
        <is>
          <t>ATS_TestCases_HRUpload_to_ZekoHR_Updated 2.xlsx</t>
        </is>
      </c>
      <c r="N82" s="5" t="inlineStr">
        <is>
          <t>It Ran fine</t>
        </is>
      </c>
      <c r="O82" s="5" t="inlineStr">
        <is>
          <t>Not Run</t>
        </is>
      </c>
      <c r="P82" s="5" t="inlineStr"/>
      <c r="Q82" s="5" t="inlineStr"/>
    </row>
    <row r="83">
      <c r="A83" s="5" t="inlineStr">
        <is>
          <t>T3-08</t>
        </is>
      </c>
      <c r="B83" s="5" t="inlineStr">
        <is>
          <t>Candidate Pipeline</t>
        </is>
      </c>
      <c r="C83" s="5" t="inlineStr">
        <is>
          <t>Technical Round 3 (Optional)</t>
        </is>
      </c>
      <c r="D83" s="5" t="inlineStr">
        <is>
          <t>Explicit skip</t>
        </is>
      </c>
      <c r="E83" s="5" t="inlineStr"/>
      <c r="F83" s="5" t="inlineStr">
        <is>
          <t>1. Open a candidate at Technical Round 3
2. Click the optional-round skip control
3. Confirm 'Skip this optional round?' &gt; 'Yes, skip it'</t>
        </is>
      </c>
      <c r="G83" s="5" t="inlineStr">
        <is>
          <t>Candidate moves to 'HR Round'; a distinct 'skip' event is logged, separate from a normal approve event</t>
        </is>
      </c>
      <c r="H83" s="5" t="inlineStr">
        <is>
          <t>Positive</t>
        </is>
      </c>
      <c r="I83" s="5" t="inlineStr">
        <is>
          <t>P2</t>
        </is>
      </c>
      <c r="J83" s="5" t="inlineStr">
        <is>
          <t>Recruiter</t>
        </is>
      </c>
      <c r="K83" s="5" t="inlineStr">
        <is>
          <t>Automated - UI (fixture)</t>
        </is>
      </c>
      <c r="L83" s="5" t="inlineStr">
        <is>
          <t>MS Graph mail (delivery check only)</t>
        </is>
      </c>
      <c r="M83" s="5" t="inlineStr">
        <is>
          <t>ATS_TestCases_HRUpload_to_ZekoHR_Updated 2.xlsx</t>
        </is>
      </c>
      <c r="N83" s="5" t="inlineStr">
        <is>
          <t>It Ran fine</t>
        </is>
      </c>
      <c r="O83" s="5" t="inlineStr">
        <is>
          <t>Not Run</t>
        </is>
      </c>
      <c r="P83" s="5" t="inlineStr"/>
      <c r="Q83" s="5" t="inlineStr">
        <is>
          <t>Skip is now available in the drawer UI (was API-only).</t>
        </is>
      </c>
    </row>
    <row r="84">
      <c r="A84" s="5" t="inlineStr">
        <is>
          <t>HRR-01</t>
        </is>
      </c>
      <c r="B84" s="5" t="inlineStr">
        <is>
          <t>Candidate Pipeline</t>
        </is>
      </c>
      <c r="C84" s="5" t="inlineStr">
        <is>
          <t>HR Round</t>
        </is>
      </c>
      <c r="D84" s="5" t="inlineStr">
        <is>
          <t>Candidate enters stage</t>
        </is>
      </c>
      <c r="E84" s="5" t="inlineStr"/>
      <c r="F84" s="5" t="inlineStr">
        <is>
          <t>Approve at Technical Round 3 (or skip it)</t>
        </is>
      </c>
      <c r="G84" s="5" t="inlineStr">
        <is>
          <t>Card moves to "HR Round" column</t>
        </is>
      </c>
      <c r="H84" s="5" t="inlineStr">
        <is>
          <t>Positive</t>
        </is>
      </c>
      <c r="I84" s="5" t="inlineStr">
        <is>
          <t>P2</t>
        </is>
      </c>
      <c r="J84" s="5" t="inlineStr">
        <is>
          <t>Recruiter</t>
        </is>
      </c>
      <c r="K84" s="5" t="inlineStr">
        <is>
          <t>Automated - UI (fixture)</t>
        </is>
      </c>
      <c r="L84" s="5" t="inlineStr">
        <is>
          <t>MS Graph mail (delivery check only)</t>
        </is>
      </c>
      <c r="M84" s="5" t="inlineStr">
        <is>
          <t>ATS_TestCases_HRUpload_to_ZekoHR_Updated 2.xlsx</t>
        </is>
      </c>
      <c r="N84" s="5" t="inlineStr">
        <is>
          <t>It Ran fine</t>
        </is>
      </c>
      <c r="O84" s="5" t="inlineStr">
        <is>
          <t>Not Run</t>
        </is>
      </c>
      <c r="P84" s="5" t="inlineStr"/>
      <c r="Q84" s="5" t="inlineStr"/>
    </row>
    <row r="85">
      <c r="A85" s="5" t="inlineStr">
        <is>
          <t>HRR-02</t>
        </is>
      </c>
      <c r="B85" s="5" t="inlineStr">
        <is>
          <t>Candidate Pipeline</t>
        </is>
      </c>
      <c r="C85" s="5" t="inlineStr">
        <is>
          <t>HR Round</t>
        </is>
      </c>
      <c r="D85" s="5" t="inlineStr">
        <is>
          <t>Approve</t>
        </is>
      </c>
      <c r="E85" s="5" t="inlineStr"/>
      <c r="F85" s="5" t="inlineStr">
        <is>
          <t>Record outcome -&gt; Approve</t>
        </is>
      </c>
      <c r="G85" s="5" t="inlineStr">
        <is>
          <t>Advances to "CEO / Final Round"; label = "HR Round Approved"; email sent</t>
        </is>
      </c>
      <c r="H85" s="5" t="inlineStr">
        <is>
          <t>Positive</t>
        </is>
      </c>
      <c r="I85" s="5" t="inlineStr">
        <is>
          <t>P2</t>
        </is>
      </c>
      <c r="J85" s="5" t="inlineStr">
        <is>
          <t>Recruiter</t>
        </is>
      </c>
      <c r="K85" s="5" t="inlineStr">
        <is>
          <t>Automated - UI (fixture)</t>
        </is>
      </c>
      <c r="L85" s="5" t="inlineStr">
        <is>
          <t>MS Graph mail (delivery check only)</t>
        </is>
      </c>
      <c r="M85" s="5" t="inlineStr">
        <is>
          <t>ATS_TestCases_HRUpload_to_ZekoHR_Updated 2.xlsx</t>
        </is>
      </c>
      <c r="N85" s="5" t="inlineStr">
        <is>
          <t>It Ran fine</t>
        </is>
      </c>
      <c r="O85" s="5" t="inlineStr">
        <is>
          <t>Not Run</t>
        </is>
      </c>
      <c r="P85" s="5" t="inlineStr"/>
      <c r="Q85" s="5" t="inlineStr"/>
    </row>
    <row r="86">
      <c r="A86" s="5" t="inlineStr">
        <is>
          <t>HRR-03</t>
        </is>
      </c>
      <c r="B86" s="5" t="inlineStr">
        <is>
          <t>Candidate Pipeline</t>
        </is>
      </c>
      <c r="C86" s="5" t="inlineStr">
        <is>
          <t>HR Round</t>
        </is>
      </c>
      <c r="D86" s="5" t="inlineStr">
        <is>
          <t>Reject without a valid reason</t>
        </is>
      </c>
      <c r="E86" s="5" t="inlineStr"/>
      <c r="F86" s="5" t="inlineStr">
        <is>
          <t>Reject -&gt; submit with no reason</t>
        </is>
      </c>
      <c r="G86" s="5" t="inlineStr">
        <is>
          <t>Blocked: reason is mandatory</t>
        </is>
      </c>
      <c r="H86" s="5" t="inlineStr">
        <is>
          <t>Negative</t>
        </is>
      </c>
      <c r="I86" s="5" t="inlineStr">
        <is>
          <t>P2</t>
        </is>
      </c>
      <c r="J86" s="5" t="inlineStr">
        <is>
          <t>Recruiter</t>
        </is>
      </c>
      <c r="K86" s="5" t="inlineStr">
        <is>
          <t>Automated - UI (fixture)</t>
        </is>
      </c>
      <c r="L86" s="5" t="inlineStr">
        <is>
          <t>MS Graph mail (delivery check only)</t>
        </is>
      </c>
      <c r="M86" s="5" t="inlineStr">
        <is>
          <t>ATS_TestCases_HRUpload_to_ZekoHR_Updated 2.xlsx</t>
        </is>
      </c>
      <c r="N86" s="5" t="inlineStr">
        <is>
          <t>It Ran fine</t>
        </is>
      </c>
      <c r="O86" s="5" t="inlineStr">
        <is>
          <t>Not Run</t>
        </is>
      </c>
      <c r="P86" s="5" t="inlineStr"/>
      <c r="Q86" s="5" t="inlineStr"/>
    </row>
    <row r="87">
      <c r="A87" s="5" t="inlineStr">
        <is>
          <t>HRR-04</t>
        </is>
      </c>
      <c r="B87" s="5" t="inlineStr">
        <is>
          <t>Candidate Pipeline</t>
        </is>
      </c>
      <c r="C87" s="5" t="inlineStr">
        <is>
          <t>HR Round</t>
        </is>
      </c>
      <c r="D87" s="5" t="inlineStr">
        <is>
          <t>Reject with a valid reason</t>
        </is>
      </c>
      <c r="E87" s="5" t="inlineStr"/>
      <c r="F87" s="5" t="inlineStr">
        <is>
          <t>Reject -&gt; pick reason -&gt; submit</t>
        </is>
      </c>
      <c r="G87" s="5" t="inlineStr">
        <is>
          <t>Stays at same stage; status = rejected; label = "HR Round Rejected"; email sent</t>
        </is>
      </c>
      <c r="H87" s="5" t="inlineStr">
        <is>
          <t>Positive</t>
        </is>
      </c>
      <c r="I87" s="5" t="inlineStr">
        <is>
          <t>P2</t>
        </is>
      </c>
      <c r="J87" s="5" t="inlineStr">
        <is>
          <t>Recruiter</t>
        </is>
      </c>
      <c r="K87" s="5" t="inlineStr">
        <is>
          <t>Automated - UI (fixture)</t>
        </is>
      </c>
      <c r="L87" s="5" t="inlineStr">
        <is>
          <t>MS Graph mail (delivery check only)</t>
        </is>
      </c>
      <c r="M87" s="5" t="inlineStr">
        <is>
          <t>ATS_TestCases_HRUpload_to_ZekoHR_Updated 2.xlsx</t>
        </is>
      </c>
      <c r="N87" s="5" t="inlineStr">
        <is>
          <t>It Ran fine</t>
        </is>
      </c>
      <c r="O87" s="5" t="inlineStr">
        <is>
          <t>Not Run</t>
        </is>
      </c>
      <c r="P87" s="5" t="inlineStr"/>
      <c r="Q87" s="5" t="inlineStr"/>
    </row>
    <row r="88">
      <c r="A88" s="5" t="inlineStr">
        <is>
          <t>HRR-05</t>
        </is>
      </c>
      <c r="B88" s="5" t="inlineStr">
        <is>
          <t>Candidate Pipeline</t>
        </is>
      </c>
      <c r="C88" s="5" t="inlineStr">
        <is>
          <t>HR Round</t>
        </is>
      </c>
      <c r="D88" s="5" t="inlineStr">
        <is>
          <t>Hold with a valid reason</t>
        </is>
      </c>
      <c r="E88" s="5" t="inlineStr"/>
      <c r="F88" s="5" t="inlineStr">
        <is>
          <t>Hold -&gt; pick reason -&gt; submit</t>
        </is>
      </c>
      <c r="G88" s="5" t="inlineStr">
        <is>
          <t>Stays at same stage; status = hold</t>
        </is>
      </c>
      <c r="H88" s="5" t="inlineStr">
        <is>
          <t>Positive</t>
        </is>
      </c>
      <c r="I88" s="5" t="inlineStr">
        <is>
          <t>P2</t>
        </is>
      </c>
      <c r="J88" s="5" t="inlineStr">
        <is>
          <t>Recruiter</t>
        </is>
      </c>
      <c r="K88" s="5" t="inlineStr">
        <is>
          <t>Automated - UI (fixture)</t>
        </is>
      </c>
      <c r="L88" s="5" t="inlineStr">
        <is>
          <t>MS Graph mail (delivery check only)</t>
        </is>
      </c>
      <c r="M88" s="5" t="inlineStr">
        <is>
          <t>ATS_TestCases_HRUpload_to_ZekoHR_Updated 2.xlsx</t>
        </is>
      </c>
      <c r="N88" s="5" t="inlineStr">
        <is>
          <t>It Ran fine</t>
        </is>
      </c>
      <c r="O88" s="5" t="inlineStr">
        <is>
          <t>Not Run</t>
        </is>
      </c>
      <c r="P88" s="5" t="inlineStr"/>
      <c r="Q88" s="5" t="inlineStr"/>
    </row>
    <row r="89">
      <c r="A89" s="5" t="inlineStr">
        <is>
          <t>HRR-06</t>
        </is>
      </c>
      <c r="B89" s="5" t="inlineStr">
        <is>
          <t>Candidate Pipeline</t>
        </is>
      </c>
      <c r="C89" s="5" t="inlineStr">
        <is>
          <t>HR Round</t>
        </is>
      </c>
      <c r="D89" s="5" t="inlineStr">
        <is>
          <t>Preview outcome email</t>
        </is>
      </c>
      <c r="E89" s="5" t="inlineStr"/>
      <c r="F89" s="5" t="inlineStr">
        <is>
          <t>Open outcome preview for "approved"</t>
        </is>
      </c>
      <c r="G89" s="5" t="inlineStr">
        <is>
          <t>Returns compiled content, no send</t>
        </is>
      </c>
      <c r="H89" s="5" t="inlineStr">
        <is>
          <t>Positive</t>
        </is>
      </c>
      <c r="I89" s="5" t="inlineStr">
        <is>
          <t>P2</t>
        </is>
      </c>
      <c r="J89" s="5" t="inlineStr">
        <is>
          <t>Recruiter</t>
        </is>
      </c>
      <c r="K89" s="5" t="inlineStr">
        <is>
          <t>Automated - UI (fixture)</t>
        </is>
      </c>
      <c r="L89" s="5" t="inlineStr"/>
      <c r="M89" s="5" t="inlineStr">
        <is>
          <t>ATS_TestCases_HRUpload_to_ZekoHR_Updated 2.xlsx</t>
        </is>
      </c>
      <c r="N89" s="5" t="inlineStr">
        <is>
          <t>It Ran fine</t>
        </is>
      </c>
      <c r="O89" s="5" t="inlineStr">
        <is>
          <t>Not Run</t>
        </is>
      </c>
      <c r="P89" s="5" t="inlineStr"/>
      <c r="Q89" s="5" t="inlineStr"/>
    </row>
    <row r="90">
      <c r="A90" s="5" t="inlineStr">
        <is>
          <t>CEO-01</t>
        </is>
      </c>
      <c r="B90" s="5" t="inlineStr">
        <is>
          <t>Candidate Pipeline</t>
        </is>
      </c>
      <c r="C90" s="5" t="inlineStr">
        <is>
          <t>CEO / Final Round</t>
        </is>
      </c>
      <c r="D90" s="5" t="inlineStr">
        <is>
          <t>Candidate enters stage</t>
        </is>
      </c>
      <c r="E90" s="5" t="inlineStr"/>
      <c r="F90" s="5" t="inlineStr">
        <is>
          <t>Approve at HR Round</t>
        </is>
      </c>
      <c r="G90" s="5" t="inlineStr">
        <is>
          <t>Card moves to "CEO / Final Round" column</t>
        </is>
      </c>
      <c r="H90" s="5" t="inlineStr">
        <is>
          <t>Positive</t>
        </is>
      </c>
      <c r="I90" s="5" t="inlineStr">
        <is>
          <t>P2</t>
        </is>
      </c>
      <c r="J90" s="5" t="inlineStr">
        <is>
          <t>Recruiter</t>
        </is>
      </c>
      <c r="K90" s="5" t="inlineStr">
        <is>
          <t>Automated - UI (fixture)</t>
        </is>
      </c>
      <c r="L90" s="5" t="inlineStr">
        <is>
          <t>MS Graph mail (delivery check only)</t>
        </is>
      </c>
      <c r="M90" s="5" t="inlineStr">
        <is>
          <t>ATS_TestCases_HRUpload_to_ZekoHR_Updated 2.xlsx</t>
        </is>
      </c>
      <c r="N90" s="5" t="inlineStr">
        <is>
          <t>It Ran fine</t>
        </is>
      </c>
      <c r="O90" s="5" t="inlineStr">
        <is>
          <t>Not Run</t>
        </is>
      </c>
      <c r="P90" s="5" t="inlineStr"/>
      <c r="Q90" s="5" t="inlineStr"/>
    </row>
    <row r="91">
      <c r="A91" s="5" t="inlineStr">
        <is>
          <t>CEO-02</t>
        </is>
      </c>
      <c r="B91" s="5" t="inlineStr">
        <is>
          <t>Candidate Pipeline</t>
        </is>
      </c>
      <c r="C91" s="5" t="inlineStr">
        <is>
          <t>CEO / Final Round</t>
        </is>
      </c>
      <c r="D91" s="5" t="inlineStr">
        <is>
          <t>Approve</t>
        </is>
      </c>
      <c r="E91" s="5" t="inlineStr"/>
      <c r="F91" s="5" t="inlineStr">
        <is>
          <t>Record outcome -&gt; Approve</t>
        </is>
      </c>
      <c r="G91" s="5" t="inlineStr">
        <is>
          <t>Advances to "Client Round"; label = "CEO / Final Round Approved"; email sent</t>
        </is>
      </c>
      <c r="H91" s="5" t="inlineStr">
        <is>
          <t>Positive</t>
        </is>
      </c>
      <c r="I91" s="5" t="inlineStr">
        <is>
          <t>P2</t>
        </is>
      </c>
      <c r="J91" s="5" t="inlineStr">
        <is>
          <t>Recruiter</t>
        </is>
      </c>
      <c r="K91" s="5" t="inlineStr">
        <is>
          <t>Automated - UI (fixture)</t>
        </is>
      </c>
      <c r="L91" s="5" t="inlineStr">
        <is>
          <t>MS Graph mail (delivery check only)</t>
        </is>
      </c>
      <c r="M91" s="5" t="inlineStr">
        <is>
          <t>ATS_TestCases_HRUpload_to_ZekoHR_Updated 2.xlsx</t>
        </is>
      </c>
      <c r="N91" s="5" t="inlineStr">
        <is>
          <t>It Ran fine</t>
        </is>
      </c>
      <c r="O91" s="5" t="inlineStr">
        <is>
          <t>Not Run</t>
        </is>
      </c>
      <c r="P91" s="5" t="inlineStr"/>
      <c r="Q91" s="5" t="inlineStr"/>
    </row>
    <row r="92">
      <c r="A92" s="5" t="inlineStr">
        <is>
          <t>CEO-03</t>
        </is>
      </c>
      <c r="B92" s="5" t="inlineStr">
        <is>
          <t>Candidate Pipeline</t>
        </is>
      </c>
      <c r="C92" s="5" t="inlineStr">
        <is>
          <t>CEO / Final Round</t>
        </is>
      </c>
      <c r="D92" s="5" t="inlineStr">
        <is>
          <t>Reject without a valid reason</t>
        </is>
      </c>
      <c r="E92" s="5" t="inlineStr"/>
      <c r="F92" s="5" t="inlineStr">
        <is>
          <t>Reject -&gt; submit with no reason</t>
        </is>
      </c>
      <c r="G92" s="5" t="inlineStr">
        <is>
          <t>Blocked: reason is mandatory</t>
        </is>
      </c>
      <c r="H92" s="5" t="inlineStr">
        <is>
          <t>Negative</t>
        </is>
      </c>
      <c r="I92" s="5" t="inlineStr">
        <is>
          <t>P2</t>
        </is>
      </c>
      <c r="J92" s="5" t="inlineStr">
        <is>
          <t>Recruiter</t>
        </is>
      </c>
      <c r="K92" s="5" t="inlineStr">
        <is>
          <t>Automated - UI (fixture)</t>
        </is>
      </c>
      <c r="L92" s="5" t="inlineStr">
        <is>
          <t>MS Graph mail (delivery check only)</t>
        </is>
      </c>
      <c r="M92" s="5" t="inlineStr">
        <is>
          <t>ATS_TestCases_HRUpload_to_ZekoHR_Updated 2.xlsx</t>
        </is>
      </c>
      <c r="N92" s="5" t="inlineStr">
        <is>
          <t>It Ran fine</t>
        </is>
      </c>
      <c r="O92" s="5" t="inlineStr">
        <is>
          <t>Not Run</t>
        </is>
      </c>
      <c r="P92" s="5" t="inlineStr"/>
      <c r="Q92" s="5" t="inlineStr"/>
    </row>
    <row r="93">
      <c r="A93" s="5" t="inlineStr">
        <is>
          <t>CEO-04</t>
        </is>
      </c>
      <c r="B93" s="5" t="inlineStr">
        <is>
          <t>Candidate Pipeline</t>
        </is>
      </c>
      <c r="C93" s="5" t="inlineStr">
        <is>
          <t>CEO / Final Round</t>
        </is>
      </c>
      <c r="D93" s="5" t="inlineStr">
        <is>
          <t>Reject with a valid reason</t>
        </is>
      </c>
      <c r="E93" s="5" t="inlineStr"/>
      <c r="F93" s="5" t="inlineStr">
        <is>
          <t>Reject -&gt; pick reason -&gt; submit</t>
        </is>
      </c>
      <c r="G93" s="5" t="inlineStr">
        <is>
          <t>Stays at same stage; status = rejected; label = "CEO / Final Round Rejected"; email sent</t>
        </is>
      </c>
      <c r="H93" s="5" t="inlineStr">
        <is>
          <t>Positive</t>
        </is>
      </c>
      <c r="I93" s="5" t="inlineStr">
        <is>
          <t>P2</t>
        </is>
      </c>
      <c r="J93" s="5" t="inlineStr">
        <is>
          <t>Recruiter</t>
        </is>
      </c>
      <c r="K93" s="5" t="inlineStr">
        <is>
          <t>Automated - UI (fixture)</t>
        </is>
      </c>
      <c r="L93" s="5" t="inlineStr">
        <is>
          <t>MS Graph mail (delivery check only)</t>
        </is>
      </c>
      <c r="M93" s="5" t="inlineStr">
        <is>
          <t>ATS_TestCases_HRUpload_to_ZekoHR_Updated 2.xlsx</t>
        </is>
      </c>
      <c r="N93" s="5" t="inlineStr">
        <is>
          <t>It Ran fine</t>
        </is>
      </c>
      <c r="O93" s="5" t="inlineStr">
        <is>
          <t>Not Run</t>
        </is>
      </c>
      <c r="P93" s="5" t="inlineStr"/>
      <c r="Q93" s="5" t="inlineStr"/>
    </row>
    <row r="94">
      <c r="A94" s="5" t="inlineStr">
        <is>
          <t>CEO-05</t>
        </is>
      </c>
      <c r="B94" s="5" t="inlineStr">
        <is>
          <t>Candidate Pipeline</t>
        </is>
      </c>
      <c r="C94" s="5" t="inlineStr">
        <is>
          <t>CEO / Final Round</t>
        </is>
      </c>
      <c r="D94" s="5" t="inlineStr">
        <is>
          <t>Hold with a valid reason</t>
        </is>
      </c>
      <c r="E94" s="5" t="inlineStr"/>
      <c r="F94" s="5" t="inlineStr">
        <is>
          <t>Hold -&gt; pick reason -&gt; submit</t>
        </is>
      </c>
      <c r="G94" s="5" t="inlineStr">
        <is>
          <t>Stays at same stage; status = hold</t>
        </is>
      </c>
      <c r="H94" s="5" t="inlineStr">
        <is>
          <t>Positive</t>
        </is>
      </c>
      <c r="I94" s="5" t="inlineStr">
        <is>
          <t>P2</t>
        </is>
      </c>
      <c r="J94" s="5" t="inlineStr">
        <is>
          <t>Recruiter</t>
        </is>
      </c>
      <c r="K94" s="5" t="inlineStr">
        <is>
          <t>Automated - UI (fixture)</t>
        </is>
      </c>
      <c r="L94" s="5" t="inlineStr">
        <is>
          <t>MS Graph mail (delivery check only)</t>
        </is>
      </c>
      <c r="M94" s="5" t="inlineStr">
        <is>
          <t>ATS_TestCases_HRUpload_to_ZekoHR_Updated 2.xlsx</t>
        </is>
      </c>
      <c r="N94" s="5" t="inlineStr">
        <is>
          <t>It Ran fine</t>
        </is>
      </c>
      <c r="O94" s="5" t="inlineStr">
        <is>
          <t>Not Run</t>
        </is>
      </c>
      <c r="P94" s="5" t="inlineStr"/>
      <c r="Q94" s="5" t="inlineStr"/>
    </row>
    <row r="95">
      <c r="A95" s="5" t="inlineStr">
        <is>
          <t>CEO-06</t>
        </is>
      </c>
      <c r="B95" s="5" t="inlineStr">
        <is>
          <t>Candidate Pipeline</t>
        </is>
      </c>
      <c r="C95" s="5" t="inlineStr">
        <is>
          <t>CEO / Final Round</t>
        </is>
      </c>
      <c r="D95" s="5" t="inlineStr">
        <is>
          <t>Preview outcome email</t>
        </is>
      </c>
      <c r="E95" s="5" t="inlineStr"/>
      <c r="F95" s="5" t="inlineStr">
        <is>
          <t>Open outcome preview for "approved"</t>
        </is>
      </c>
      <c r="G95" s="5" t="inlineStr">
        <is>
          <t>Returns compiled content, no send</t>
        </is>
      </c>
      <c r="H95" s="5" t="inlineStr">
        <is>
          <t>Positive</t>
        </is>
      </c>
      <c r="I95" s="5" t="inlineStr">
        <is>
          <t>P2</t>
        </is>
      </c>
      <c r="J95" s="5" t="inlineStr">
        <is>
          <t>Recruiter</t>
        </is>
      </c>
      <c r="K95" s="5" t="inlineStr">
        <is>
          <t>Automated - UI (fixture)</t>
        </is>
      </c>
      <c r="L95" s="5" t="inlineStr"/>
      <c r="M95" s="5" t="inlineStr">
        <is>
          <t>ATS_TestCases_HRUpload_to_ZekoHR_Updated 2.xlsx</t>
        </is>
      </c>
      <c r="N95" s="5" t="inlineStr">
        <is>
          <t>It Ran fine</t>
        </is>
      </c>
      <c r="O95" s="5" t="inlineStr">
        <is>
          <t>Not Run</t>
        </is>
      </c>
      <c r="P95" s="5" t="inlineStr"/>
      <c r="Q95" s="5" t="inlineStr"/>
    </row>
    <row r="96">
      <c r="A96" s="5" t="inlineStr">
        <is>
          <t>CLI-01</t>
        </is>
      </c>
      <c r="B96" s="5" t="inlineStr">
        <is>
          <t>Candidate Pipeline</t>
        </is>
      </c>
      <c r="C96" s="5" t="inlineStr">
        <is>
          <t>Client Round (Optional)</t>
        </is>
      </c>
      <c r="D96" s="5" t="inlineStr">
        <is>
          <t>Candidate enters stage</t>
        </is>
      </c>
      <c r="E96" s="5" t="inlineStr"/>
      <c r="F96" s="5" t="inlineStr">
        <is>
          <t>Approve at CEO / Final Round</t>
        </is>
      </c>
      <c r="G96" s="5" t="inlineStr">
        <is>
          <t>Card moves to "Client Round" column (not auto-skipped)</t>
        </is>
      </c>
      <c r="H96" s="5" t="inlineStr">
        <is>
          <t>Positive</t>
        </is>
      </c>
      <c r="I96" s="5" t="inlineStr">
        <is>
          <t>P2</t>
        </is>
      </c>
      <c r="J96" s="5" t="inlineStr">
        <is>
          <t>Recruiter</t>
        </is>
      </c>
      <c r="K96" s="5" t="inlineStr">
        <is>
          <t>Automated - UI (fixture)</t>
        </is>
      </c>
      <c r="L96" s="5" t="inlineStr">
        <is>
          <t>MS Graph mail (delivery check only)</t>
        </is>
      </c>
      <c r="M96" s="5" t="inlineStr">
        <is>
          <t>ATS_TestCases_HRUpload_to_ZekoHR_Updated 2.xlsx</t>
        </is>
      </c>
      <c r="N96" s="5" t="inlineStr">
        <is>
          <t>It Ran fine</t>
        </is>
      </c>
      <c r="O96" s="5" t="inlineStr">
        <is>
          <t>Not Run</t>
        </is>
      </c>
      <c r="P96" s="5" t="inlineStr"/>
      <c r="Q96" s="5" t="inlineStr"/>
    </row>
    <row r="97">
      <c r="A97" s="5" t="inlineStr">
        <is>
          <t>CLI-02</t>
        </is>
      </c>
      <c r="B97" s="5" t="inlineStr">
        <is>
          <t>Candidate Pipeline</t>
        </is>
      </c>
      <c r="C97" s="5" t="inlineStr">
        <is>
          <t>Client Round (Optional)</t>
        </is>
      </c>
      <c r="D97" s="5" t="inlineStr">
        <is>
          <t>Approve</t>
        </is>
      </c>
      <c r="E97" s="5" t="inlineStr"/>
      <c r="F97" s="5" t="inlineStr">
        <is>
          <t>Record outcome -&gt; Approve</t>
        </is>
      </c>
      <c r="G97" s="5" t="inlineStr">
        <is>
          <t>Advances to "Documents"; label = "Client Round Approved"; email sent</t>
        </is>
      </c>
      <c r="H97" s="5" t="inlineStr">
        <is>
          <t>Positive</t>
        </is>
      </c>
      <c r="I97" s="5" t="inlineStr">
        <is>
          <t>P2</t>
        </is>
      </c>
      <c r="J97" s="5" t="inlineStr">
        <is>
          <t>Recruiter</t>
        </is>
      </c>
      <c r="K97" s="5" t="inlineStr">
        <is>
          <t>Automated - UI (fixture)</t>
        </is>
      </c>
      <c r="L97" s="5" t="inlineStr">
        <is>
          <t>MS Graph mail (delivery check only)</t>
        </is>
      </c>
      <c r="M97" s="5" t="inlineStr">
        <is>
          <t>ATS_TestCases_HRUpload_to_ZekoHR_Updated 2.xlsx</t>
        </is>
      </c>
      <c r="N97" s="5" t="inlineStr">
        <is>
          <t>It Ran fine</t>
        </is>
      </c>
      <c r="O97" s="5" t="inlineStr">
        <is>
          <t>Not Run</t>
        </is>
      </c>
      <c r="P97" s="5" t="inlineStr"/>
      <c r="Q97" s="5" t="inlineStr"/>
    </row>
    <row r="98">
      <c r="A98" s="5" t="inlineStr">
        <is>
          <t>CLI-03</t>
        </is>
      </c>
      <c r="B98" s="5" t="inlineStr">
        <is>
          <t>Candidate Pipeline</t>
        </is>
      </c>
      <c r="C98" s="5" t="inlineStr">
        <is>
          <t>Client Round (Optional)</t>
        </is>
      </c>
      <c r="D98" s="5" t="inlineStr">
        <is>
          <t>Reject without a valid reason</t>
        </is>
      </c>
      <c r="E98" s="5" t="inlineStr"/>
      <c r="F98" s="5" t="inlineStr">
        <is>
          <t>Reject -&gt; submit with no reason</t>
        </is>
      </c>
      <c r="G98" s="5" t="inlineStr">
        <is>
          <t>Blocked: reason is mandatory</t>
        </is>
      </c>
      <c r="H98" s="5" t="inlineStr">
        <is>
          <t>Negative</t>
        </is>
      </c>
      <c r="I98" s="5" t="inlineStr">
        <is>
          <t>P2</t>
        </is>
      </c>
      <c r="J98" s="5" t="inlineStr">
        <is>
          <t>Recruiter</t>
        </is>
      </c>
      <c r="K98" s="5" t="inlineStr">
        <is>
          <t>Automated - UI (fixture)</t>
        </is>
      </c>
      <c r="L98" s="5" t="inlineStr">
        <is>
          <t>MS Graph mail (delivery check only)</t>
        </is>
      </c>
      <c r="M98" s="5" t="inlineStr">
        <is>
          <t>ATS_TestCases_HRUpload_to_ZekoHR_Updated 2.xlsx</t>
        </is>
      </c>
      <c r="N98" s="5" t="inlineStr">
        <is>
          <t>It Ran fine</t>
        </is>
      </c>
      <c r="O98" s="5" t="inlineStr">
        <is>
          <t>Not Run</t>
        </is>
      </c>
      <c r="P98" s="5" t="inlineStr"/>
      <c r="Q98" s="5" t="inlineStr"/>
    </row>
    <row r="99">
      <c r="A99" s="5" t="inlineStr">
        <is>
          <t>CLI-04</t>
        </is>
      </c>
      <c r="B99" s="5" t="inlineStr">
        <is>
          <t>Candidate Pipeline</t>
        </is>
      </c>
      <c r="C99" s="5" t="inlineStr">
        <is>
          <t>Client Round (Optional)</t>
        </is>
      </c>
      <c r="D99" s="5" t="inlineStr">
        <is>
          <t>Reject with a valid reason</t>
        </is>
      </c>
      <c r="E99" s="5" t="inlineStr"/>
      <c r="F99" s="5" t="inlineStr">
        <is>
          <t>Reject -&gt; pick reason -&gt; submit</t>
        </is>
      </c>
      <c r="G99" s="5" t="inlineStr">
        <is>
          <t>Stays at same stage; status = rejected; label = "Client Round Rejected"; email sent</t>
        </is>
      </c>
      <c r="H99" s="5" t="inlineStr">
        <is>
          <t>Positive</t>
        </is>
      </c>
      <c r="I99" s="5" t="inlineStr">
        <is>
          <t>P2</t>
        </is>
      </c>
      <c r="J99" s="5" t="inlineStr">
        <is>
          <t>Recruiter</t>
        </is>
      </c>
      <c r="K99" s="5" t="inlineStr">
        <is>
          <t>Automated - UI (fixture)</t>
        </is>
      </c>
      <c r="L99" s="5" t="inlineStr">
        <is>
          <t>MS Graph mail (delivery check only)</t>
        </is>
      </c>
      <c r="M99" s="5" t="inlineStr">
        <is>
          <t>ATS_TestCases_HRUpload_to_ZekoHR_Updated 2.xlsx</t>
        </is>
      </c>
      <c r="N99" s="5" t="inlineStr">
        <is>
          <t>It Ran fine</t>
        </is>
      </c>
      <c r="O99" s="5" t="inlineStr">
        <is>
          <t>Not Run</t>
        </is>
      </c>
      <c r="P99" s="5" t="inlineStr"/>
      <c r="Q99" s="5" t="inlineStr"/>
    </row>
    <row r="100">
      <c r="A100" s="5" t="inlineStr">
        <is>
          <t>CLI-05</t>
        </is>
      </c>
      <c r="B100" s="5" t="inlineStr">
        <is>
          <t>Candidate Pipeline</t>
        </is>
      </c>
      <c r="C100" s="5" t="inlineStr">
        <is>
          <t>Client Round (Optional)</t>
        </is>
      </c>
      <c r="D100" s="5" t="inlineStr">
        <is>
          <t>Hold with a valid reason</t>
        </is>
      </c>
      <c r="E100" s="5" t="inlineStr"/>
      <c r="F100" s="5" t="inlineStr">
        <is>
          <t>Hold -&gt; pick reason -&gt; submit</t>
        </is>
      </c>
      <c r="G100" s="5" t="inlineStr">
        <is>
          <t>Stays at same stage; status = hold</t>
        </is>
      </c>
      <c r="H100" s="5" t="inlineStr">
        <is>
          <t>Positive</t>
        </is>
      </c>
      <c r="I100" s="5" t="inlineStr">
        <is>
          <t>P2</t>
        </is>
      </c>
      <c r="J100" s="5" t="inlineStr">
        <is>
          <t>Recruiter</t>
        </is>
      </c>
      <c r="K100" s="5" t="inlineStr">
        <is>
          <t>Automated - UI (fixture)</t>
        </is>
      </c>
      <c r="L100" s="5" t="inlineStr">
        <is>
          <t>MS Graph mail (delivery check only)</t>
        </is>
      </c>
      <c r="M100" s="5" t="inlineStr">
        <is>
          <t>ATS_TestCases_HRUpload_to_ZekoHR_Updated 2.xlsx</t>
        </is>
      </c>
      <c r="N100" s="5" t="inlineStr">
        <is>
          <t>It Ran fine</t>
        </is>
      </c>
      <c r="O100" s="5" t="inlineStr">
        <is>
          <t>Not Run</t>
        </is>
      </c>
      <c r="P100" s="5" t="inlineStr"/>
      <c r="Q100" s="5" t="inlineStr"/>
    </row>
    <row r="101">
      <c r="A101" s="5" t="inlineStr">
        <is>
          <t>CLI-06</t>
        </is>
      </c>
      <c r="B101" s="5" t="inlineStr">
        <is>
          <t>Candidate Pipeline</t>
        </is>
      </c>
      <c r="C101" s="5" t="inlineStr">
        <is>
          <t>Client Round (Optional)</t>
        </is>
      </c>
      <c r="D101" s="5" t="inlineStr">
        <is>
          <t>Preview outcome email</t>
        </is>
      </c>
      <c r="E101" s="5" t="inlineStr"/>
      <c r="F101" s="5" t="inlineStr">
        <is>
          <t>Open outcome preview for "approved"</t>
        </is>
      </c>
      <c r="G101" s="5" t="inlineStr">
        <is>
          <t>Returns compiled content, no send</t>
        </is>
      </c>
      <c r="H101" s="5" t="inlineStr">
        <is>
          <t>Positive</t>
        </is>
      </c>
      <c r="I101" s="5" t="inlineStr">
        <is>
          <t>P2</t>
        </is>
      </c>
      <c r="J101" s="5" t="inlineStr">
        <is>
          <t>Recruiter</t>
        </is>
      </c>
      <c r="K101" s="5" t="inlineStr">
        <is>
          <t>Automated - UI (fixture)</t>
        </is>
      </c>
      <c r="L101" s="5" t="inlineStr"/>
      <c r="M101" s="5" t="inlineStr">
        <is>
          <t>ATS_TestCases_HRUpload_to_ZekoHR_Updated 2.xlsx</t>
        </is>
      </c>
      <c r="N101" s="5" t="inlineStr">
        <is>
          <t>It Ran fine</t>
        </is>
      </c>
      <c r="O101" s="5" t="inlineStr">
        <is>
          <t>Not Run</t>
        </is>
      </c>
      <c r="P101" s="5" t="inlineStr"/>
      <c r="Q101" s="5" t="inlineStr"/>
    </row>
    <row r="102">
      <c r="A102" s="5" t="inlineStr">
        <is>
          <t>CLI-07</t>
        </is>
      </c>
      <c r="B102" s="5" t="inlineStr">
        <is>
          <t>Candidate Pipeline</t>
        </is>
      </c>
      <c r="C102" s="5" t="inlineStr">
        <is>
          <t>Client Round (Optional)</t>
        </is>
      </c>
      <c r="D102" s="5" t="inlineStr">
        <is>
          <t>Explicit skip</t>
        </is>
      </c>
      <c r="E102" s="5" t="inlineStr"/>
      <c r="F102" s="5" t="inlineStr">
        <is>
          <t>1. Open a candidate at Client Round
2. Click the optional-round skip control
3. Confirm 'Skip this optional round?' &gt; 'Yes, skip it'</t>
        </is>
      </c>
      <c r="G102" s="5" t="inlineStr">
        <is>
          <t>Candidate moves to 'Documents'; distinct 'skip' event logged</t>
        </is>
      </c>
      <c r="H102" s="5" t="inlineStr">
        <is>
          <t>Positive</t>
        </is>
      </c>
      <c r="I102" s="5" t="inlineStr">
        <is>
          <t>P2</t>
        </is>
      </c>
      <c r="J102" s="5" t="inlineStr">
        <is>
          <t>Recruiter</t>
        </is>
      </c>
      <c r="K102" s="5" t="inlineStr">
        <is>
          <t>Automated - UI (fixture)</t>
        </is>
      </c>
      <c r="L102" s="5" t="inlineStr">
        <is>
          <t>MS Graph mail (delivery check only)</t>
        </is>
      </c>
      <c r="M102" s="5" t="inlineStr">
        <is>
          <t>ATS_TestCases_HRUpload_to_ZekoHR_Updated 2.xlsx</t>
        </is>
      </c>
      <c r="N102" s="5" t="inlineStr">
        <is>
          <t>It Ran fine</t>
        </is>
      </c>
      <c r="O102" s="5" t="inlineStr">
        <is>
          <t>Not Run</t>
        </is>
      </c>
      <c r="P102" s="5" t="inlineStr"/>
      <c r="Q102" s="5" t="inlineStr">
        <is>
          <t>Skip is now available in the drawer UI (was API-only).</t>
        </is>
      </c>
    </row>
    <row r="103">
      <c r="A103" s="5" t="inlineStr">
        <is>
          <t>DOC-01</t>
        </is>
      </c>
      <c r="B103" s="5" t="inlineStr">
        <is>
          <t>Documents</t>
        </is>
      </c>
      <c r="C103" s="5" t="inlineStr">
        <is>
          <t>Documents</t>
        </is>
      </c>
      <c r="D103" s="5" t="inlineStr">
        <is>
          <t>Candidate enters stage</t>
        </is>
      </c>
      <c r="E103" s="5" t="inlineStr"/>
      <c r="F103" s="5" t="inlineStr">
        <is>
          <t>Approve at Client Round (or skip it)</t>
        </is>
      </c>
      <c r="G103" s="5" t="inlineStr">
        <is>
          <t>Card moves to "Documents" column</t>
        </is>
      </c>
      <c r="H103" s="5" t="inlineStr">
        <is>
          <t>Positive</t>
        </is>
      </c>
      <c r="I103" s="5" t="inlineStr">
        <is>
          <t>P1</t>
        </is>
      </c>
      <c r="J103" s="5" t="inlineStr">
        <is>
          <t>Recruiter</t>
        </is>
      </c>
      <c r="K103" s="5" t="inlineStr">
        <is>
          <t>Automated - UI (fixture)</t>
        </is>
      </c>
      <c r="L103" s="5" t="inlineStr">
        <is>
          <t>MS Graph mail (delivery check only)</t>
        </is>
      </c>
      <c r="M103" s="5" t="inlineStr">
        <is>
          <t>ATS_TestCases_HRUpload_to_ZekoHR_Updated 2.xlsx</t>
        </is>
      </c>
      <c r="N103" s="5" t="inlineStr">
        <is>
          <t>It Ran fine</t>
        </is>
      </c>
      <c r="O103" s="5" t="inlineStr">
        <is>
          <t>Not Run</t>
        </is>
      </c>
      <c r="P103" s="5" t="inlineStr"/>
      <c r="Q103" s="5" t="inlineStr"/>
    </row>
    <row r="104">
      <c r="A104" s="5" t="inlineStr">
        <is>
          <t>DOC-02</t>
        </is>
      </c>
      <c r="B104" s="5" t="inlineStr">
        <is>
          <t>Documents</t>
        </is>
      </c>
      <c r="C104" s="5" t="inlineStr">
        <is>
          <t>Documents</t>
        </is>
      </c>
      <c r="D104" s="5" t="inlineStr">
        <is>
          <t>Send documents request</t>
        </is>
      </c>
      <c r="E104" s="5" t="inlineStr"/>
      <c r="F104" s="5" t="inlineStr">
        <is>
          <t>1. Open a candidate at Documents
2. Click 'Send document request'</t>
        </is>
      </c>
      <c r="G104" s="5" t="inlineStr">
        <is>
          <t>Request created with a no-login upload link; Documents segment shows the request as sent; email goes to the candidate ONLY (never the vendor)</t>
        </is>
      </c>
      <c r="H104" s="5" t="inlineStr">
        <is>
          <t>Positive</t>
        </is>
      </c>
      <c r="I104" s="5" t="inlineStr">
        <is>
          <t>P1</t>
        </is>
      </c>
      <c r="J104" s="5" t="inlineStr">
        <is>
          <t>Recruiter</t>
        </is>
      </c>
      <c r="K104" s="5" t="inlineStr">
        <is>
          <t>Automated - UI (fixture)</t>
        </is>
      </c>
      <c r="L104" s="5" t="inlineStr">
        <is>
          <t>MS Graph mail (delivery check only)</t>
        </is>
      </c>
      <c r="M104" s="5" t="inlineStr">
        <is>
          <t>ATS_TestCases_HRUpload_to_ZekoHR_Updated 2.xlsx</t>
        </is>
      </c>
      <c r="N104" s="5" t="inlineStr">
        <is>
          <t>It Ran fine</t>
        </is>
      </c>
      <c r="O104" s="5" t="inlineStr">
        <is>
          <t>Not Run</t>
        </is>
      </c>
      <c r="P104" s="5" t="inlineStr"/>
      <c r="Q104" s="5" t="inlineStr">
        <is>
          <t>Inbox delivery is manual; request creation automated.</t>
        </is>
      </c>
    </row>
    <row r="105">
      <c r="A105" s="5" t="inlineStr">
        <is>
          <t>DOC-03</t>
        </is>
      </c>
      <c r="B105" s="5" t="inlineStr">
        <is>
          <t>Documents</t>
        </is>
      </c>
      <c r="C105" s="5" t="inlineStr">
        <is>
          <t>Documents</t>
        </is>
      </c>
      <c r="D105" s="5" t="inlineStr">
        <is>
          <t>Approve</t>
        </is>
      </c>
      <c r="E105" s="5" t="inlineStr"/>
      <c r="F105" s="5" t="inlineStr">
        <is>
          <t>Record outcome -&gt; Approve</t>
        </is>
      </c>
      <c r="G105" s="5" t="inlineStr">
        <is>
          <t>Advances to "Offer"; label = "Documents Approved"; email sent</t>
        </is>
      </c>
      <c r="H105" s="5" t="inlineStr">
        <is>
          <t>Positive</t>
        </is>
      </c>
      <c r="I105" s="5" t="inlineStr">
        <is>
          <t>P1</t>
        </is>
      </c>
      <c r="J105" s="5" t="inlineStr">
        <is>
          <t>Recruiter</t>
        </is>
      </c>
      <c r="K105" s="5" t="inlineStr">
        <is>
          <t>Automated - UI (fixture)</t>
        </is>
      </c>
      <c r="L105" s="5" t="inlineStr">
        <is>
          <t>MS Graph mail (delivery check only)</t>
        </is>
      </c>
      <c r="M105" s="5" t="inlineStr">
        <is>
          <t>ATS_TestCases_HRUpload_to_ZekoHR_Updated 2.xlsx</t>
        </is>
      </c>
      <c r="N105" s="5" t="inlineStr">
        <is>
          <t>It Ran fine</t>
        </is>
      </c>
      <c r="O105" s="5" t="inlineStr">
        <is>
          <t>Not Run</t>
        </is>
      </c>
      <c r="P105" s="5" t="inlineStr"/>
      <c r="Q105" s="5" t="inlineStr"/>
    </row>
    <row r="106">
      <c r="A106" s="5" t="inlineStr">
        <is>
          <t>DOC-04</t>
        </is>
      </c>
      <c r="B106" s="5" t="inlineStr">
        <is>
          <t>Documents</t>
        </is>
      </c>
      <c r="C106" s="5" t="inlineStr">
        <is>
          <t>Documents</t>
        </is>
      </c>
      <c r="D106" s="5" t="inlineStr">
        <is>
          <t>Reject without a valid reason</t>
        </is>
      </c>
      <c r="E106" s="5" t="inlineStr"/>
      <c r="F106" s="5" t="inlineStr">
        <is>
          <t>Reject -&gt; submit with no reason</t>
        </is>
      </c>
      <c r="G106" s="5" t="inlineStr">
        <is>
          <t>Blocked: reason is mandatory</t>
        </is>
      </c>
      <c r="H106" s="5" t="inlineStr">
        <is>
          <t>Negative</t>
        </is>
      </c>
      <c r="I106" s="5" t="inlineStr">
        <is>
          <t>P1</t>
        </is>
      </c>
      <c r="J106" s="5" t="inlineStr">
        <is>
          <t>Recruiter</t>
        </is>
      </c>
      <c r="K106" s="5" t="inlineStr">
        <is>
          <t>Automated - UI (fixture)</t>
        </is>
      </c>
      <c r="L106" s="5" t="inlineStr">
        <is>
          <t>MS Graph mail (delivery check only)</t>
        </is>
      </c>
      <c r="M106" s="5" t="inlineStr">
        <is>
          <t>ATS_TestCases_HRUpload_to_ZekoHR_Updated 2.xlsx</t>
        </is>
      </c>
      <c r="N106" s="5" t="inlineStr">
        <is>
          <t>It Ran fine</t>
        </is>
      </c>
      <c r="O106" s="5" t="inlineStr">
        <is>
          <t>Not Run</t>
        </is>
      </c>
      <c r="P106" s="5" t="inlineStr"/>
      <c r="Q106" s="5" t="inlineStr"/>
    </row>
    <row r="107">
      <c r="A107" s="5" t="inlineStr">
        <is>
          <t>DOC-05</t>
        </is>
      </c>
      <c r="B107" s="5" t="inlineStr">
        <is>
          <t>Documents</t>
        </is>
      </c>
      <c r="C107" s="5" t="inlineStr">
        <is>
          <t>Documents</t>
        </is>
      </c>
      <c r="D107" s="5" t="inlineStr">
        <is>
          <t>Reject with a valid reason</t>
        </is>
      </c>
      <c r="E107" s="5" t="inlineStr"/>
      <c r="F107" s="5" t="inlineStr">
        <is>
          <t>Reject -&gt; pick reason -&gt; submit</t>
        </is>
      </c>
      <c r="G107" s="5" t="inlineStr">
        <is>
          <t>Stays at same stage; status = rejected; label = "Documents Rejected"; email sent</t>
        </is>
      </c>
      <c r="H107" s="5" t="inlineStr">
        <is>
          <t>Positive</t>
        </is>
      </c>
      <c r="I107" s="5" t="inlineStr">
        <is>
          <t>P1</t>
        </is>
      </c>
      <c r="J107" s="5" t="inlineStr">
        <is>
          <t>Recruiter</t>
        </is>
      </c>
      <c r="K107" s="5" t="inlineStr">
        <is>
          <t>Automated - UI (fixture)</t>
        </is>
      </c>
      <c r="L107" s="5" t="inlineStr">
        <is>
          <t>MS Graph mail (delivery check only)</t>
        </is>
      </c>
      <c r="M107" s="5" t="inlineStr">
        <is>
          <t>ATS_TestCases_HRUpload_to_ZekoHR_Updated 2.xlsx</t>
        </is>
      </c>
      <c r="N107" s="5" t="inlineStr">
        <is>
          <t>It Ran fine</t>
        </is>
      </c>
      <c r="O107" s="5" t="inlineStr">
        <is>
          <t>Not Run</t>
        </is>
      </c>
      <c r="P107" s="5" t="inlineStr"/>
      <c r="Q107" s="5" t="inlineStr"/>
    </row>
    <row r="108">
      <c r="A108" s="5" t="inlineStr">
        <is>
          <t>DOC-06</t>
        </is>
      </c>
      <c r="B108" s="5" t="inlineStr">
        <is>
          <t>Documents</t>
        </is>
      </c>
      <c r="C108" s="5" t="inlineStr">
        <is>
          <t>Documents</t>
        </is>
      </c>
      <c r="D108" s="5" t="inlineStr">
        <is>
          <t>Hold with a valid reason</t>
        </is>
      </c>
      <c r="E108" s="5" t="inlineStr"/>
      <c r="F108" s="5" t="inlineStr">
        <is>
          <t>Hold -&gt; pick reason -&gt; submit</t>
        </is>
      </c>
      <c r="G108" s="5" t="inlineStr">
        <is>
          <t>Stays at same stage; status = hold</t>
        </is>
      </c>
      <c r="H108" s="5" t="inlineStr">
        <is>
          <t>Positive</t>
        </is>
      </c>
      <c r="I108" s="5" t="inlineStr">
        <is>
          <t>P1</t>
        </is>
      </c>
      <c r="J108" s="5" t="inlineStr">
        <is>
          <t>Recruiter</t>
        </is>
      </c>
      <c r="K108" s="5" t="inlineStr">
        <is>
          <t>Automated - UI (fixture)</t>
        </is>
      </c>
      <c r="L108" s="5" t="inlineStr">
        <is>
          <t>MS Graph mail (delivery check only)</t>
        </is>
      </c>
      <c r="M108" s="5" t="inlineStr">
        <is>
          <t>ATS_TestCases_HRUpload_to_ZekoHR_Updated 2.xlsx</t>
        </is>
      </c>
      <c r="N108" s="5" t="inlineStr">
        <is>
          <t>It Ran fine</t>
        </is>
      </c>
      <c r="O108" s="5" t="inlineStr">
        <is>
          <t>Not Run</t>
        </is>
      </c>
      <c r="P108" s="5" t="inlineStr"/>
      <c r="Q108" s="5" t="inlineStr"/>
    </row>
    <row r="109">
      <c r="A109" s="5" t="inlineStr">
        <is>
          <t>DOC-07</t>
        </is>
      </c>
      <c r="B109" s="5" t="inlineStr">
        <is>
          <t>Documents</t>
        </is>
      </c>
      <c r="C109" s="5" t="inlineStr">
        <is>
          <t>Documents</t>
        </is>
      </c>
      <c r="D109" s="5" t="inlineStr">
        <is>
          <t>Preview outcome email</t>
        </is>
      </c>
      <c r="E109" s="5" t="inlineStr"/>
      <c r="F109" s="5" t="inlineStr">
        <is>
          <t>Open outcome preview for "approved"</t>
        </is>
      </c>
      <c r="G109" s="5" t="inlineStr">
        <is>
          <t>Returns compiled content, no send</t>
        </is>
      </c>
      <c r="H109" s="5" t="inlineStr">
        <is>
          <t>Positive</t>
        </is>
      </c>
      <c r="I109" s="5" t="inlineStr">
        <is>
          <t>P1</t>
        </is>
      </c>
      <c r="J109" s="5" t="inlineStr">
        <is>
          <t>Recruiter</t>
        </is>
      </c>
      <c r="K109" s="5" t="inlineStr">
        <is>
          <t>Automated - UI (fixture)</t>
        </is>
      </c>
      <c r="L109" s="5" t="inlineStr"/>
      <c r="M109" s="5" t="inlineStr">
        <is>
          <t>ATS_TestCases_HRUpload_to_ZekoHR_Updated 2.xlsx</t>
        </is>
      </c>
      <c r="N109" s="5" t="inlineStr">
        <is>
          <t>It Ran fine</t>
        </is>
      </c>
      <c r="O109" s="5" t="inlineStr">
        <is>
          <t>Not Run</t>
        </is>
      </c>
      <c r="P109" s="5" t="inlineStr"/>
      <c r="Q109" s="5" t="inlineStr"/>
    </row>
    <row r="110">
      <c r="A110" s="5" t="inlineStr">
        <is>
          <t>OFR-01</t>
        </is>
      </c>
      <c r="B110" s="5" t="inlineStr">
        <is>
          <t>Offer &amp; Closure</t>
        </is>
      </c>
      <c r="C110" s="5" t="inlineStr">
        <is>
          <t>Offer</t>
        </is>
      </c>
      <c r="D110" s="5" t="inlineStr">
        <is>
          <t>Candidate enters stage</t>
        </is>
      </c>
      <c r="E110" s="5" t="inlineStr"/>
      <c r="F110" s="5" t="inlineStr">
        <is>
          <t>Approve at Documents</t>
        </is>
      </c>
      <c r="G110" s="5" t="inlineStr">
        <is>
          <t>Card moves to 'Offer' column; the Offer panel shows 'Record-only: HR prepares and shares the letter from its own mailbox' and a 'Record offer shared' button. The generic Approve/Reject/Hold bar is NOT shown on this stage.</t>
        </is>
      </c>
      <c r="H110" s="5" t="inlineStr">
        <is>
          <t>Positive</t>
        </is>
      </c>
      <c r="I110" s="5" t="inlineStr">
        <is>
          <t>P1</t>
        </is>
      </c>
      <c r="J110" s="5" t="inlineStr">
        <is>
          <t>Recruiter</t>
        </is>
      </c>
      <c r="K110" s="5" t="inlineStr">
        <is>
          <t>Automated - UI (fixture)</t>
        </is>
      </c>
      <c r="L110" s="5" t="inlineStr"/>
      <c r="M110" s="5" t="inlineStr">
        <is>
          <t>ATS_TestCases_HRUpload_to_ZekoHR_Updated 2.xlsx</t>
        </is>
      </c>
      <c r="N110" s="5" t="inlineStr">
        <is>
          <t>Not executed</t>
        </is>
      </c>
      <c r="O110" s="5" t="inlineStr">
        <is>
          <t>Not Run</t>
        </is>
      </c>
      <c r="P110" s="5" t="inlineStr"/>
      <c r="Q110" s="5" t="inlineStr">
        <is>
          <t>Never executed. Expected result updated for the record-only Offer stage (2026-08-25).</t>
        </is>
      </c>
    </row>
    <row r="111">
      <c r="A111" s="5" t="inlineStr">
        <is>
          <t>OFR-02</t>
        </is>
      </c>
      <c r="B111" s="5" t="inlineStr">
        <is>
          <t>Offer &amp; Closure</t>
        </is>
      </c>
      <c r="C111" s="5" t="inlineStr">
        <is>
          <t>Offer</t>
        </is>
      </c>
      <c r="D111" s="5" t="inlineStr">
        <is>
          <t>Record offer shared</t>
        </is>
      </c>
      <c r="E111" s="5" t="inlineStr"/>
      <c r="F111" s="5" t="inlineStr">
        <is>
          <t>1. Click 'Record offer shared'
2. Pick a proposed joining date (past dates are disabled); add optional remarks
3. Click 'Record it'</t>
        </is>
      </c>
      <c r="G111" s="5" t="inlineStr">
        <is>
          <t>Toast 'Offer recorded as shared.'; panel reads 'Shared &lt;date&gt; · proposed joining &lt;date&gt; · awaiting the candidate's decision'; 'Mark accepted' / 'Mark rejected' buttons appear</t>
        </is>
      </c>
      <c r="H111" s="5" t="inlineStr">
        <is>
          <t>Positive</t>
        </is>
      </c>
      <c r="I111" s="5" t="inlineStr">
        <is>
          <t>P1</t>
        </is>
      </c>
      <c r="J111" s="5" t="inlineStr">
        <is>
          <t>Recruiter</t>
        </is>
      </c>
      <c r="K111" s="5" t="inlineStr">
        <is>
          <t>Automated - UI (fixture)</t>
        </is>
      </c>
      <c r="L111" s="5" t="inlineStr"/>
      <c r="M111" s="5" t="inlineStr">
        <is>
          <t>ATS_TestCases_HRUpload_to_ZekoHR_Updated 2.xlsx</t>
        </is>
      </c>
      <c r="N111" s="5" t="inlineStr">
        <is>
          <t>Not executed</t>
        </is>
      </c>
      <c r="O111" s="5" t="inlineStr">
        <is>
          <t>Not Run</t>
        </is>
      </c>
      <c r="P111" s="5" t="inlineStr"/>
      <c r="Q111" s="5" t="inlineStr">
        <is>
          <t>Never executed. REPLACES 'Approve (last stage)' - Offer no longer has Approve/Reject/Hold.</t>
        </is>
      </c>
    </row>
    <row r="112">
      <c r="A112" s="5" t="inlineStr">
        <is>
          <t>OFR-03</t>
        </is>
      </c>
      <c r="B112" s="5" t="inlineStr">
        <is>
          <t>Offer &amp; Closure</t>
        </is>
      </c>
      <c r="C112" s="5" t="inlineStr">
        <is>
          <t>Offer</t>
        </is>
      </c>
      <c r="D112" s="5" t="inlineStr">
        <is>
          <t>Mark offer accepted</t>
        </is>
      </c>
      <c r="E112" s="5" t="inlineStr"/>
      <c r="F112" s="5" t="inlineStr">
        <is>
          <t>1. After OFR-02, click 'Mark accepted'</t>
        </is>
      </c>
      <c r="G112" s="5" t="inlineStr">
        <is>
          <t>Panel reads '... candidate accepted'; offer_accepted_at populated; if accepted hires now equal the MRF's openings, the requisition auto-closes (filled) and leaves JD filtering</t>
        </is>
      </c>
      <c r="H112" s="5" t="inlineStr">
        <is>
          <t>Positive</t>
        </is>
      </c>
      <c r="I112" s="5" t="inlineStr">
        <is>
          <t>P1</t>
        </is>
      </c>
      <c r="J112" s="5" t="inlineStr">
        <is>
          <t>Recruiter</t>
        </is>
      </c>
      <c r="K112" s="5" t="inlineStr">
        <is>
          <t>Automated - UI (fixture)</t>
        </is>
      </c>
      <c r="L112" s="5" t="inlineStr"/>
      <c r="M112" s="5" t="inlineStr">
        <is>
          <t>ATS_TestCases_HRUpload_to_ZekoHR_Updated 2.xlsx</t>
        </is>
      </c>
      <c r="N112" s="5" t="inlineStr">
        <is>
          <t>Not executed</t>
        </is>
      </c>
      <c r="O112" s="5" t="inlineStr">
        <is>
          <t>Not Run</t>
        </is>
      </c>
      <c r="P112" s="5" t="inlineStr"/>
      <c r="Q112" s="5" t="inlineStr">
        <is>
          <t>Never executed. REPLACES 'Reject without a valid reason'.</t>
        </is>
      </c>
    </row>
    <row r="113">
      <c r="A113" s="5" t="inlineStr">
        <is>
          <t>OFR-04</t>
        </is>
      </c>
      <c r="B113" s="5" t="inlineStr">
        <is>
          <t>Offer &amp; Closure</t>
        </is>
      </c>
      <c r="C113" s="5" t="inlineStr">
        <is>
          <t>Offer</t>
        </is>
      </c>
      <c r="D113" s="5" t="inlineStr">
        <is>
          <t>Mark offer rejected (declined by candidate)</t>
        </is>
      </c>
      <c r="E113" s="5" t="inlineStr"/>
      <c r="F113" s="5" t="inlineStr">
        <is>
          <t>1. On a fresh journey, record offer shared
2. Click 'Mark rejected'</t>
        </is>
      </c>
      <c r="G113" s="5" t="inlineStr">
        <is>
          <t>Panel reads '... candidate rejected'; Accepted / Declined row shows 'Declined by the candidate'; MRF seat not filled</t>
        </is>
      </c>
      <c r="H113" s="5" t="inlineStr">
        <is>
          <t>Positive</t>
        </is>
      </c>
      <c r="I113" s="5" t="inlineStr">
        <is>
          <t>P1</t>
        </is>
      </c>
      <c r="J113" s="5" t="inlineStr">
        <is>
          <t>Recruiter</t>
        </is>
      </c>
      <c r="K113" s="5" t="inlineStr">
        <is>
          <t>Automated - UI (fixture)</t>
        </is>
      </c>
      <c r="L113" s="5" t="inlineStr"/>
      <c r="M113" s="5" t="inlineStr">
        <is>
          <t>ATS_TestCases_HRUpload_to_ZekoHR_Updated 2.xlsx</t>
        </is>
      </c>
      <c r="N113" s="5" t="inlineStr">
        <is>
          <t>Not executed</t>
        </is>
      </c>
      <c r="O113" s="5" t="inlineStr">
        <is>
          <t>Not Run</t>
        </is>
      </c>
      <c r="P113" s="5" t="inlineStr"/>
      <c r="Q113" s="5" t="inlineStr">
        <is>
          <t>Never executed. REPLACES 'Reject with a valid reason'.</t>
        </is>
      </c>
    </row>
    <row r="114">
      <c r="A114" s="5" t="inlineStr">
        <is>
          <t>OFR-05</t>
        </is>
      </c>
      <c r="B114" s="5" t="inlineStr">
        <is>
          <t>Offer &amp; Closure</t>
        </is>
      </c>
      <c r="C114" s="5" t="inlineStr">
        <is>
          <t>Offer</t>
        </is>
      </c>
      <c r="D114" s="5" t="inlineStr">
        <is>
          <t>Close candidate record as 'Joined' from Offer</t>
        </is>
      </c>
      <c r="E114" s="5" t="inlineStr"/>
      <c r="F114" s="5" t="inlineStr">
        <is>
          <t>1. After OFR-03, click 'Close candidate record…'
2. Pick Final status = Joined
3. Click 'Close the record'</t>
        </is>
      </c>
      <c r="G114" s="5" t="inlineStr">
        <is>
          <t>Alert states Joined does not email the candidate; card leaves the board; drawer closes; pipeline_status = 'hired'; joined_at = closed_at; vendor 90-day lock frozen</t>
        </is>
      </c>
      <c r="H114" s="5" t="inlineStr">
        <is>
          <t>Positive</t>
        </is>
      </c>
      <c r="I114" s="5" t="inlineStr">
        <is>
          <t>P1</t>
        </is>
      </c>
      <c r="J114" s="5" t="inlineStr">
        <is>
          <t>Recruiter</t>
        </is>
      </c>
      <c r="K114" s="5" t="inlineStr">
        <is>
          <t>Automated - UI (fixture)</t>
        </is>
      </c>
      <c r="L114" s="5" t="inlineStr"/>
      <c r="M114" s="5" t="inlineStr">
        <is>
          <t>ATS_TestCases_HRUpload_to_ZekoHR_Updated 2.xlsx</t>
        </is>
      </c>
      <c r="N114" s="5" t="inlineStr">
        <is>
          <t>Not executed</t>
        </is>
      </c>
      <c r="O114" s="5" t="inlineStr">
        <is>
          <t>Not Run</t>
        </is>
      </c>
      <c r="P114" s="5" t="inlineStr"/>
      <c r="Q114" s="5" t="inlineStr">
        <is>
          <t>Never executed. REPLACES 'Hold with a valid reason'.</t>
        </is>
      </c>
    </row>
    <row r="115">
      <c r="A115" s="5" t="inlineStr">
        <is>
          <t>OFR-06</t>
        </is>
      </c>
      <c r="B115" s="5" t="inlineStr">
        <is>
          <t>Offer &amp; Closure</t>
        </is>
      </c>
      <c r="C115" s="5" t="inlineStr">
        <is>
          <t>Offer</t>
        </is>
      </c>
      <c r="D115" s="5" t="inlineStr">
        <is>
          <t>Internal approval controls are absent (mark-only regression)</t>
        </is>
      </c>
      <c r="E115" s="5" t="inlineStr"/>
      <c r="F115" s="5" t="inlineStr">
        <is>
          <t>1. Open a candidate at Offer before anything is recorded</t>
        </is>
      </c>
      <c r="G115" s="5" t="inlineStr">
        <is>
          <t>No 'Request internal approval' or 'Mark approved' buttons; progress strip does not stick on 'Internal approval not requested yet'</t>
        </is>
      </c>
      <c r="H115" s="5" t="inlineStr">
        <is>
          <t>Negative</t>
        </is>
      </c>
      <c r="I115" s="5" t="inlineStr">
        <is>
          <t>P1</t>
        </is>
      </c>
      <c r="J115" s="5" t="inlineStr">
        <is>
          <t>Recruiter</t>
        </is>
      </c>
      <c r="K115" s="5" t="inlineStr">
        <is>
          <t>Automated - UI (fixture)</t>
        </is>
      </c>
      <c r="L115" s="5" t="inlineStr"/>
      <c r="M115" s="5" t="inlineStr">
        <is>
          <t>ATS_TestCases_HRUpload_to_ZekoHR_Updated 2.xlsx</t>
        </is>
      </c>
      <c r="N115" s="5" t="inlineStr">
        <is>
          <t>Not executed</t>
        </is>
      </c>
      <c r="O115" s="5" t="inlineStr">
        <is>
          <t>Not Run</t>
        </is>
      </c>
      <c r="P115" s="5" t="inlineStr"/>
      <c r="Q115" s="5" t="inlineStr">
        <is>
          <t>Never executed. REPLACES 'Preview outcome email' - Offer has no outcome email.</t>
        </is>
      </c>
    </row>
    <row r="116">
      <c r="A116" s="5" t="inlineStr">
        <is>
          <t>AUTH-01</t>
        </is>
      </c>
      <c r="B116" s="5" t="inlineStr">
        <is>
          <t>Authentication &amp; Access</t>
        </is>
      </c>
      <c r="C116" s="5" t="inlineStr">
        <is>
          <t>Login</t>
        </is>
      </c>
      <c r="D116" s="5" t="inlineStr">
        <is>
          <t>Login with valid recruiter credentials</t>
        </is>
      </c>
      <c r="E116" s="5" t="inlineStr">
        <is>
          <t>Active recruiter account</t>
        </is>
      </c>
      <c r="F116" s="5" t="inlineStr">
        <is>
          <t>1. Open /login
2. Enter username/email and password
3. Click Sign in</t>
        </is>
      </c>
      <c r="G116" s="5" t="inlineStr">
        <is>
          <t>Redirected to /dashboard; header shows the user; sidebar shows only modules enabled for the user</t>
        </is>
      </c>
      <c r="H116" s="5" t="inlineStr">
        <is>
          <t>Positive</t>
        </is>
      </c>
      <c r="I116" s="5" t="inlineStr">
        <is>
          <t>P1</t>
        </is>
      </c>
      <c r="J116" s="5" t="inlineStr">
        <is>
          <t>Recruiter</t>
        </is>
      </c>
      <c r="K116" s="5" t="inlineStr">
        <is>
          <t>Automated - UI</t>
        </is>
      </c>
      <c r="L116" s="5" t="inlineStr"/>
      <c r="M116" s="5" t="inlineStr">
        <is>
          <t>auth.routes.js</t>
        </is>
      </c>
      <c r="N116" s="5" t="inlineStr">
        <is>
          <t>New</t>
        </is>
      </c>
      <c r="O116" s="5" t="inlineStr">
        <is>
          <t>Not Run</t>
        </is>
      </c>
      <c r="P116" s="5" t="inlineStr"/>
      <c r="Q116" s="5" t="inlineStr"/>
    </row>
    <row r="117">
      <c r="A117" s="5" t="inlineStr">
        <is>
          <t>AUTH-02</t>
        </is>
      </c>
      <c r="B117" s="5" t="inlineStr">
        <is>
          <t>Authentication &amp; Access</t>
        </is>
      </c>
      <c r="C117" s="5" t="inlineStr">
        <is>
          <t>Login</t>
        </is>
      </c>
      <c r="D117" s="5" t="inlineStr">
        <is>
          <t>Login with wrong password</t>
        </is>
      </c>
      <c r="E117" s="5" t="inlineStr">
        <is>
          <t>Active account</t>
        </is>
      </c>
      <c r="F117" s="5" t="inlineStr">
        <is>
          <t>1. Enter a valid username with a wrong password
2. Submit</t>
        </is>
      </c>
      <c r="G117" s="5" t="inlineStr">
        <is>
          <t>Error 'Invalid username/email or password.'; stays on /login; no token stored</t>
        </is>
      </c>
      <c r="H117" s="5" t="inlineStr">
        <is>
          <t>Negative</t>
        </is>
      </c>
      <c r="I117" s="5" t="inlineStr">
        <is>
          <t>P1</t>
        </is>
      </c>
      <c r="J117" s="5" t="inlineStr">
        <is>
          <t>Any</t>
        </is>
      </c>
      <c r="K117" s="5" t="inlineStr">
        <is>
          <t>Automated - UI</t>
        </is>
      </c>
      <c r="L117" s="5" t="inlineStr"/>
      <c r="M117" s="5" t="inlineStr">
        <is>
          <t>auth.service.js</t>
        </is>
      </c>
      <c r="N117" s="5" t="inlineStr">
        <is>
          <t>New</t>
        </is>
      </c>
      <c r="O117" s="5" t="inlineStr">
        <is>
          <t>Not Run</t>
        </is>
      </c>
      <c r="P117" s="5" t="inlineStr"/>
      <c r="Q117" s="5" t="inlineStr"/>
    </row>
    <row r="118">
      <c r="A118" s="5" t="inlineStr">
        <is>
          <t>AUTH-03</t>
        </is>
      </c>
      <c r="B118" s="5" t="inlineStr">
        <is>
          <t>Authentication &amp; Access</t>
        </is>
      </c>
      <c r="C118" s="5" t="inlineStr">
        <is>
          <t>Login</t>
        </is>
      </c>
      <c r="D118" s="5" t="inlineStr">
        <is>
          <t>Login with unknown username</t>
        </is>
      </c>
      <c r="E118" s="5" t="inlineStr"/>
      <c r="F118" s="5" t="inlineStr">
        <is>
          <t>1. Enter a username that does not exist
2. Submit</t>
        </is>
      </c>
      <c r="G118" s="5" t="inlineStr">
        <is>
          <t>Same generic error 'Invalid username/email or password.' (no hint that the user does not exist)</t>
        </is>
      </c>
      <c r="H118" s="5" t="inlineStr">
        <is>
          <t>Security</t>
        </is>
      </c>
      <c r="I118" s="5" t="inlineStr">
        <is>
          <t>P2</t>
        </is>
      </c>
      <c r="J118" s="5" t="inlineStr">
        <is>
          <t>Any</t>
        </is>
      </c>
      <c r="K118" s="5" t="inlineStr">
        <is>
          <t>Automated - UI</t>
        </is>
      </c>
      <c r="L118" s="5" t="inlineStr"/>
      <c r="M118" s="5" t="inlineStr">
        <is>
          <t>auth.service.js</t>
        </is>
      </c>
      <c r="N118" s="5" t="inlineStr">
        <is>
          <t>New</t>
        </is>
      </c>
      <c r="O118" s="5" t="inlineStr">
        <is>
          <t>Not Run</t>
        </is>
      </c>
      <c r="P118" s="5" t="inlineStr"/>
      <c r="Q118" s="5" t="inlineStr"/>
    </row>
    <row r="119">
      <c r="A119" s="5" t="inlineStr">
        <is>
          <t>AUTH-04</t>
        </is>
      </c>
      <c r="B119" s="5" t="inlineStr">
        <is>
          <t>Authentication &amp; Access</t>
        </is>
      </c>
      <c r="C119" s="5" t="inlineStr">
        <is>
          <t>Login</t>
        </is>
      </c>
      <c r="D119" s="5" t="inlineStr">
        <is>
          <t>Login with empty fields</t>
        </is>
      </c>
      <c r="E119" s="5" t="inlineStr"/>
      <c r="F119" s="5" t="inlineStr">
        <is>
          <t>1. Leave username and/or password blank
2. Submit</t>
        </is>
      </c>
      <c r="G119" s="5" t="inlineStr">
        <is>
          <t>Form validation blocks submit; no API call (or API returns 'Please provide username and password.')</t>
        </is>
      </c>
      <c r="H119" s="5" t="inlineStr">
        <is>
          <t>Negative</t>
        </is>
      </c>
      <c r="I119" s="5" t="inlineStr">
        <is>
          <t>P2</t>
        </is>
      </c>
      <c r="J119" s="5" t="inlineStr">
        <is>
          <t>Any</t>
        </is>
      </c>
      <c r="K119" s="5" t="inlineStr">
        <is>
          <t>Automated - UI</t>
        </is>
      </c>
      <c r="L119" s="5" t="inlineStr"/>
      <c r="M119" s="5" t="inlineStr">
        <is>
          <t>auth.controller.js</t>
        </is>
      </c>
      <c r="N119" s="5" t="inlineStr">
        <is>
          <t>New</t>
        </is>
      </c>
      <c r="O119" s="5" t="inlineStr">
        <is>
          <t>Not Run</t>
        </is>
      </c>
      <c r="P119" s="5" t="inlineStr"/>
      <c r="Q119" s="5" t="inlineStr"/>
    </row>
    <row r="120">
      <c r="A120" s="5" t="inlineStr">
        <is>
          <t>AUTH-05</t>
        </is>
      </c>
      <c r="B120" s="5" t="inlineStr">
        <is>
          <t>Authentication &amp; Access</t>
        </is>
      </c>
      <c r="C120" s="5" t="inlineStr">
        <is>
          <t>Login</t>
        </is>
      </c>
      <c r="D120" s="5" t="inlineStr">
        <is>
          <t>Deactivated account cannot log in</t>
        </is>
      </c>
      <c r="E120" s="5" t="inlineStr">
        <is>
          <t>Account deactivated via ADM-07</t>
        </is>
      </c>
      <c r="F120" s="5" t="inlineStr">
        <is>
          <t>1. Log in with the deactivated account</t>
        </is>
      </c>
      <c r="G120" s="5" t="inlineStr">
        <is>
          <t>Error 'Your account has been deactivated. Contact an administrator.'</t>
        </is>
      </c>
      <c r="H120" s="5" t="inlineStr">
        <is>
          <t>Negative</t>
        </is>
      </c>
      <c r="I120" s="5" t="inlineStr">
        <is>
          <t>P1</t>
        </is>
      </c>
      <c r="J120" s="5" t="inlineStr">
        <is>
          <t>Any</t>
        </is>
      </c>
      <c r="K120" s="5" t="inlineStr">
        <is>
          <t>Automated - UI</t>
        </is>
      </c>
      <c r="L120" s="5" t="inlineStr"/>
      <c r="M120" s="5" t="inlineStr">
        <is>
          <t>auth.service.js</t>
        </is>
      </c>
      <c r="N120" s="5" t="inlineStr">
        <is>
          <t>New</t>
        </is>
      </c>
      <c r="O120" s="5" t="inlineStr">
        <is>
          <t>Not Run</t>
        </is>
      </c>
      <c r="P120" s="5" t="inlineStr"/>
      <c r="Q120" s="5" t="inlineStr"/>
    </row>
    <row r="121">
      <c r="A121" s="5" t="inlineStr">
        <is>
          <t>AUTH-06</t>
        </is>
      </c>
      <c r="B121" s="5" t="inlineStr">
        <is>
          <t>Authentication &amp; Access</t>
        </is>
      </c>
      <c r="C121" s="5" t="inlineStr">
        <is>
          <t>Route guard</t>
        </is>
      </c>
      <c r="D121" s="5" t="inlineStr">
        <is>
          <t>Protected page without a session</t>
        </is>
      </c>
      <c r="E121" s="5" t="inlineStr">
        <is>
          <t>Logged out</t>
        </is>
      </c>
      <c r="F121" s="5" t="inlineStr">
        <is>
          <t>1. Open /pipeline (or /mrf, /candidates) directly</t>
        </is>
      </c>
      <c r="G121" s="5" t="inlineStr">
        <is>
          <t>Redirected to /login; after login the user can open the page</t>
        </is>
      </c>
      <c r="H121" s="5" t="inlineStr">
        <is>
          <t>Security</t>
        </is>
      </c>
      <c r="I121" s="5" t="inlineStr">
        <is>
          <t>P1</t>
        </is>
      </c>
      <c r="J121" s="5" t="inlineStr">
        <is>
          <t>Any</t>
        </is>
      </c>
      <c r="K121" s="5" t="inlineStr">
        <is>
          <t>Automated - UI</t>
        </is>
      </c>
      <c r="L121" s="5" t="inlineStr"/>
      <c r="M121" s="5" t="inlineStr">
        <is>
          <t>App.jsx ProtectedRoute</t>
        </is>
      </c>
      <c r="N121" s="5" t="inlineStr">
        <is>
          <t>New</t>
        </is>
      </c>
      <c r="O121" s="5" t="inlineStr">
        <is>
          <t>Not Run</t>
        </is>
      </c>
      <c r="P121" s="5" t="inlineStr"/>
      <c r="Q121" s="5" t="inlineStr"/>
    </row>
    <row r="122">
      <c r="A122" s="5" t="inlineStr">
        <is>
          <t>AUTH-07</t>
        </is>
      </c>
      <c r="B122" s="5" t="inlineStr">
        <is>
          <t>Authentication &amp; Access</t>
        </is>
      </c>
      <c r="C122" s="5" t="inlineStr">
        <is>
          <t>Logout</t>
        </is>
      </c>
      <c r="D122" s="5" t="inlineStr">
        <is>
          <t>Logout ends the session</t>
        </is>
      </c>
      <c r="E122" s="5" t="inlineStr">
        <is>
          <t>Logged in</t>
        </is>
      </c>
      <c r="F122" s="5" t="inlineStr">
        <is>
          <t>1. User menu &gt; Logout
2. Press browser Back</t>
        </is>
      </c>
      <c r="G122" s="5" t="inlineStr">
        <is>
          <t>Returned to /login; Back does not show protected content; API calls with the old token are refused</t>
        </is>
      </c>
      <c r="H122" s="5" t="inlineStr">
        <is>
          <t>Security</t>
        </is>
      </c>
      <c r="I122" s="5" t="inlineStr">
        <is>
          <t>P1</t>
        </is>
      </c>
      <c r="J122" s="5" t="inlineStr">
        <is>
          <t>Any</t>
        </is>
      </c>
      <c r="K122" s="5" t="inlineStr">
        <is>
          <t>Automated - UI</t>
        </is>
      </c>
      <c r="L122" s="5" t="inlineStr"/>
      <c r="M122" s="5" t="inlineStr">
        <is>
          <t>MainLayout.jsx</t>
        </is>
      </c>
      <c r="N122" s="5" t="inlineStr">
        <is>
          <t>New</t>
        </is>
      </c>
      <c r="O122" s="5" t="inlineStr">
        <is>
          <t>Not Run</t>
        </is>
      </c>
      <c r="P122" s="5" t="inlineStr"/>
      <c r="Q122" s="5" t="inlineStr"/>
    </row>
    <row r="123">
      <c r="A123" s="5" t="inlineStr">
        <is>
          <t>AUTH-08</t>
        </is>
      </c>
      <c r="B123" s="5" t="inlineStr">
        <is>
          <t>Authentication &amp; Access</t>
        </is>
      </c>
      <c r="C123" s="5" t="inlineStr">
        <is>
          <t>Change password</t>
        </is>
      </c>
      <c r="D123" s="5" t="inlineStr">
        <is>
          <t>Change password with wrong current password</t>
        </is>
      </c>
      <c r="E123" s="5" t="inlineStr">
        <is>
          <t>Logged in</t>
        </is>
      </c>
      <c r="F123" s="5" t="inlineStr">
        <is>
          <t>1. User menu &gt; Change Password
2. Enter a wrong current password and a new password
3. Submit</t>
        </is>
      </c>
      <c r="G123" s="5" t="inlineStr">
        <is>
          <t>Error 'Current password is incorrect.'; password unchanged</t>
        </is>
      </c>
      <c r="H123" s="5" t="inlineStr">
        <is>
          <t>Negative</t>
        </is>
      </c>
      <c r="I123" s="5" t="inlineStr">
        <is>
          <t>P2</t>
        </is>
      </c>
      <c r="J123" s="5" t="inlineStr">
        <is>
          <t>Any</t>
        </is>
      </c>
      <c r="K123" s="5" t="inlineStr">
        <is>
          <t>Automated - UI</t>
        </is>
      </c>
      <c r="L123" s="5" t="inlineStr"/>
      <c r="M123" s="5" t="inlineStr">
        <is>
          <t>auth.controller.js</t>
        </is>
      </c>
      <c r="N123" s="5" t="inlineStr">
        <is>
          <t>New</t>
        </is>
      </c>
      <c r="O123" s="5" t="inlineStr">
        <is>
          <t>Not Run</t>
        </is>
      </c>
      <c r="P123" s="5" t="inlineStr"/>
      <c r="Q123" s="5" t="inlineStr"/>
    </row>
    <row r="124">
      <c r="A124" s="5" t="inlineStr">
        <is>
          <t>AUTH-09</t>
        </is>
      </c>
      <c r="B124" s="5" t="inlineStr">
        <is>
          <t>Authentication &amp; Access</t>
        </is>
      </c>
      <c r="C124" s="5" t="inlineStr">
        <is>
          <t>Change password</t>
        </is>
      </c>
      <c r="D124" s="5" t="inlineStr">
        <is>
          <t>Change password successfully</t>
        </is>
      </c>
      <c r="E124" s="5" t="inlineStr">
        <is>
          <t>Logged in (use a disposable test user)</t>
        </is>
      </c>
      <c r="F124" s="5" t="inlineStr">
        <is>
          <t>1. Change Password with correct current password
2. Logout
3. Login with the new password</t>
        </is>
      </c>
      <c r="G124" s="5" t="inlineStr">
        <is>
          <t>Success message; login with the new password works; old password rejected</t>
        </is>
      </c>
      <c r="H124" s="5" t="inlineStr">
        <is>
          <t>Positive</t>
        </is>
      </c>
      <c r="I124" s="5" t="inlineStr">
        <is>
          <t>P2</t>
        </is>
      </c>
      <c r="J124" s="5" t="inlineStr">
        <is>
          <t>Any</t>
        </is>
      </c>
      <c r="K124" s="5" t="inlineStr">
        <is>
          <t>Automated - UI</t>
        </is>
      </c>
      <c r="L124" s="5" t="inlineStr"/>
      <c r="M124" s="5" t="inlineStr">
        <is>
          <t>auth.controller.js</t>
        </is>
      </c>
      <c r="N124" s="5" t="inlineStr">
        <is>
          <t>New</t>
        </is>
      </c>
      <c r="O124" s="5" t="inlineStr">
        <is>
          <t>Not Run</t>
        </is>
      </c>
      <c r="P124" s="5" t="inlineStr"/>
      <c r="Q124" s="5" t="inlineStr"/>
    </row>
    <row r="125">
      <c r="A125" s="5" t="inlineStr">
        <is>
          <t>AUTH-10</t>
        </is>
      </c>
      <c r="B125" s="5" t="inlineStr">
        <is>
          <t>Authentication &amp; Access</t>
        </is>
      </c>
      <c r="C125" s="5" t="inlineStr">
        <is>
          <t>Forgot password</t>
        </is>
      </c>
      <c r="D125" s="5" t="inlineStr">
        <is>
          <t>Request a password reset</t>
        </is>
      </c>
      <c r="E125" s="5" t="inlineStr"/>
      <c r="F125" s="5" t="inlineStr">
        <is>
          <t>1. /login &gt; Forgot password
2. Enter a registered email
3. Submit</t>
        </is>
      </c>
      <c r="G125" s="5" t="inlineStr">
        <is>
          <t>Generic confirmation shown (does not reveal whether the email exists); reset email sent (inbox check manual)</t>
        </is>
      </c>
      <c r="H125" s="5" t="inlineStr">
        <is>
          <t>Positive</t>
        </is>
      </c>
      <c r="I125" s="5" t="inlineStr">
        <is>
          <t>P2</t>
        </is>
      </c>
      <c r="J125" s="5" t="inlineStr">
        <is>
          <t>Any</t>
        </is>
      </c>
      <c r="K125" s="5" t="inlineStr">
        <is>
          <t>Automated - UI</t>
        </is>
      </c>
      <c r="L125" s="5" t="inlineStr">
        <is>
          <t>MS Graph mail (delivery check only)</t>
        </is>
      </c>
      <c r="M125" s="5" t="inlineStr">
        <is>
          <t>ForgotPassword.jsx</t>
        </is>
      </c>
      <c r="N125" s="5" t="inlineStr">
        <is>
          <t>New</t>
        </is>
      </c>
      <c r="O125" s="5" t="inlineStr">
        <is>
          <t>Not Run</t>
        </is>
      </c>
      <c r="P125" s="5" t="inlineStr"/>
      <c r="Q125" s="5" t="inlineStr"/>
    </row>
    <row r="126">
      <c r="A126" s="5" t="inlineStr">
        <is>
          <t>AUTH-11</t>
        </is>
      </c>
      <c r="B126" s="5" t="inlineStr">
        <is>
          <t>Authentication &amp; Access</t>
        </is>
      </c>
      <c r="C126" s="5" t="inlineStr">
        <is>
          <t>Reset password</t>
        </is>
      </c>
      <c r="D126" s="5" t="inlineStr">
        <is>
          <t>Reset link invalid / tampered</t>
        </is>
      </c>
      <c r="E126" s="5" t="inlineStr"/>
      <c r="F126" s="5" t="inlineStr">
        <is>
          <t>1. Open /reset-password?token=invalid
2. Set a new password</t>
        </is>
      </c>
      <c r="G126" s="5" t="inlineStr">
        <is>
          <t>Error 'This password reset link is invalid. Please request a new one.'</t>
        </is>
      </c>
      <c r="H126" s="5" t="inlineStr">
        <is>
          <t>Negative</t>
        </is>
      </c>
      <c r="I126" s="5" t="inlineStr">
        <is>
          <t>P2</t>
        </is>
      </c>
      <c r="J126" s="5" t="inlineStr">
        <is>
          <t>Any</t>
        </is>
      </c>
      <c r="K126" s="5" t="inlineStr">
        <is>
          <t>Automated - UI</t>
        </is>
      </c>
      <c r="L126" s="5" t="inlineStr"/>
      <c r="M126" s="5" t="inlineStr">
        <is>
          <t>auth.service.js</t>
        </is>
      </c>
      <c r="N126" s="5" t="inlineStr">
        <is>
          <t>New</t>
        </is>
      </c>
      <c r="O126" s="5" t="inlineStr">
        <is>
          <t>Not Run</t>
        </is>
      </c>
      <c r="P126" s="5" t="inlineStr"/>
      <c r="Q126" s="5" t="inlineStr"/>
    </row>
    <row r="127">
      <c r="A127" s="5" t="inlineStr">
        <is>
          <t>AUTH-12</t>
        </is>
      </c>
      <c r="B127" s="5" t="inlineStr">
        <is>
          <t>Authentication &amp; Access</t>
        </is>
      </c>
      <c r="C127" s="5" t="inlineStr">
        <is>
          <t>Reset password</t>
        </is>
      </c>
      <c r="D127" s="5" t="inlineStr">
        <is>
          <t>Reset link already used / expired</t>
        </is>
      </c>
      <c r="E127" s="5" t="inlineStr">
        <is>
          <t>Token used once, or expired (fixture)</t>
        </is>
      </c>
      <c r="F127" s="5" t="inlineStr">
        <is>
          <t>1. Re-open a used reset link and submit</t>
        </is>
      </c>
      <c r="G127" s="5" t="inlineStr">
        <is>
          <t>Error 'This password reset link has already been used...' or '...has expired...'</t>
        </is>
      </c>
      <c r="H127" s="5" t="inlineStr">
        <is>
          <t>Negative</t>
        </is>
      </c>
      <c r="I127" s="5" t="inlineStr">
        <is>
          <t>P3</t>
        </is>
      </c>
      <c r="J127" s="5" t="inlineStr">
        <is>
          <t>Any</t>
        </is>
      </c>
      <c r="K127" s="5" t="inlineStr">
        <is>
          <t>Automated - UI (fixture)</t>
        </is>
      </c>
      <c r="L127" s="5" t="inlineStr"/>
      <c r="M127" s="5" t="inlineStr">
        <is>
          <t>auth.service.js</t>
        </is>
      </c>
      <c r="N127" s="5" t="inlineStr">
        <is>
          <t>New</t>
        </is>
      </c>
      <c r="O127" s="5" t="inlineStr">
        <is>
          <t>Not Run</t>
        </is>
      </c>
      <c r="P127" s="5" t="inlineStr"/>
      <c r="Q127" s="5" t="inlineStr"/>
    </row>
    <row r="128">
      <c r="A128" s="5" t="inlineStr">
        <is>
          <t>AUTH-13</t>
        </is>
      </c>
      <c r="B128" s="5" t="inlineStr">
        <is>
          <t>Authentication &amp; Access</t>
        </is>
      </c>
      <c r="C128" s="5" t="inlineStr">
        <is>
          <t>Admin login</t>
        </is>
      </c>
      <c r="D128" s="5" t="inlineStr">
        <is>
          <t>Admin portal login</t>
        </is>
      </c>
      <c r="E128" s="5" t="inlineStr">
        <is>
          <t>Superadmin account</t>
        </is>
      </c>
      <c r="F128" s="5" t="inlineStr">
        <is>
          <t>1. Open /admin/login
2. Log in as superadmin</t>
        </is>
      </c>
      <c r="G128" s="5" t="inlineStr">
        <is>
          <t>Lands on /admin/dashboard (Admin Portal)</t>
        </is>
      </c>
      <c r="H128" s="5" t="inlineStr">
        <is>
          <t>Positive</t>
        </is>
      </c>
      <c r="I128" s="5" t="inlineStr">
        <is>
          <t>P1</t>
        </is>
      </c>
      <c r="J128" s="5" t="inlineStr">
        <is>
          <t>Superadmin</t>
        </is>
      </c>
      <c r="K128" s="5" t="inlineStr">
        <is>
          <t>Automated - UI</t>
        </is>
      </c>
      <c r="L128" s="5" t="inlineStr"/>
      <c r="M128" s="5" t="inlineStr">
        <is>
          <t>AdminLogin.jsx</t>
        </is>
      </c>
      <c r="N128" s="5" t="inlineStr">
        <is>
          <t>New</t>
        </is>
      </c>
      <c r="O128" s="5" t="inlineStr">
        <is>
          <t>Not Run</t>
        </is>
      </c>
      <c r="P128" s="5" t="inlineStr"/>
      <c r="Q128" s="5" t="inlineStr"/>
    </row>
    <row r="129">
      <c r="A129" s="5" t="inlineStr">
        <is>
          <t>AUTH-14</t>
        </is>
      </c>
      <c r="B129" s="5" t="inlineStr">
        <is>
          <t>Authentication &amp; Access</t>
        </is>
      </c>
      <c r="C129" s="5" t="inlineStr">
        <is>
          <t>Role guard</t>
        </is>
      </c>
      <c r="D129" s="5" t="inlineStr">
        <is>
          <t>Recruiter cannot open the Admin Portal</t>
        </is>
      </c>
      <c r="E129" s="5" t="inlineStr">
        <is>
          <t>Recruiter logged in</t>
        </is>
      </c>
      <c r="F129" s="5" t="inlineStr">
        <is>
          <t>1. Open /admin/dashboard directly</t>
        </is>
      </c>
      <c r="G129" s="5" t="inlineStr">
        <is>
          <t>Access denied / redirected; no user list is loaded</t>
        </is>
      </c>
      <c r="H129" s="5" t="inlineStr">
        <is>
          <t>Security</t>
        </is>
      </c>
      <c r="I129" s="5" t="inlineStr">
        <is>
          <t>P1</t>
        </is>
      </c>
      <c r="J129" s="5" t="inlineStr">
        <is>
          <t>Recruiter</t>
        </is>
      </c>
      <c r="K129" s="5" t="inlineStr">
        <is>
          <t>Automated - UI</t>
        </is>
      </c>
      <c r="L129" s="5" t="inlineStr"/>
      <c r="M129" s="5" t="inlineStr">
        <is>
          <t>App.jsx AdminRoute</t>
        </is>
      </c>
      <c r="N129" s="5" t="inlineStr">
        <is>
          <t>New</t>
        </is>
      </c>
      <c r="O129" s="5" t="inlineStr">
        <is>
          <t>Not Run</t>
        </is>
      </c>
      <c r="P129" s="5" t="inlineStr"/>
      <c r="Q129" s="5" t="inlineStr"/>
    </row>
    <row r="130">
      <c r="A130" s="5" t="inlineStr">
        <is>
          <t>AUTH-15</t>
        </is>
      </c>
      <c r="B130" s="5" t="inlineStr">
        <is>
          <t>Authentication &amp; Access</t>
        </is>
      </c>
      <c r="C130" s="5" t="inlineStr">
        <is>
          <t>Vendor confinement</t>
        </is>
      </c>
      <c r="D130" s="5" t="inlineStr">
        <is>
          <t>Vendor is confined to vendor pages</t>
        </is>
      </c>
      <c r="E130" s="5" t="inlineStr">
        <is>
          <t>Vendor logged in</t>
        </is>
      </c>
      <c r="F130" s="5" t="inlineStr">
        <is>
          <t>1. Check the sidebar
2. Type /pipeline, /mrf, /analytics, /candidates in the address bar</t>
        </is>
      </c>
      <c r="G130" s="5" t="inlineStr">
        <is>
          <t>Sidebar shows only 'Dashboard' and 'Upload Candidate'; every other URL redirects to /vendor-dashboard</t>
        </is>
      </c>
      <c r="H130" s="5" t="inlineStr">
        <is>
          <t>Security</t>
        </is>
      </c>
      <c r="I130" s="5" t="inlineStr">
        <is>
          <t>P1</t>
        </is>
      </c>
      <c r="J130" s="5" t="inlineStr">
        <is>
          <t>Vendor</t>
        </is>
      </c>
      <c r="K130" s="5" t="inlineStr">
        <is>
          <t>Automated - UI</t>
        </is>
      </c>
      <c r="L130" s="5" t="inlineStr"/>
      <c r="M130" s="5" t="inlineStr">
        <is>
          <t>MainLayout.jsx VENDOR_ALLOWED_PATHS</t>
        </is>
      </c>
      <c r="N130" s="5" t="inlineStr">
        <is>
          <t>New</t>
        </is>
      </c>
      <c r="O130" s="5" t="inlineStr">
        <is>
          <t>Not Run</t>
        </is>
      </c>
      <c r="P130" s="5" t="inlineStr"/>
      <c r="Q130" s="5" t="inlineStr"/>
    </row>
    <row r="131">
      <c r="A131" s="5" t="inlineStr">
        <is>
          <t>AUTH-16</t>
        </is>
      </c>
      <c r="B131" s="5" t="inlineStr">
        <is>
          <t>Authentication &amp; Access</t>
        </is>
      </c>
      <c r="C131" s="5" t="inlineStr">
        <is>
          <t>Vendor confinement</t>
        </is>
      </c>
      <c r="D131" s="5" t="inlineStr">
        <is>
          <t>Vendor token is refused by staff APIs</t>
        </is>
      </c>
      <c r="E131" s="5" t="inlineStr">
        <is>
          <t>Vendor JWT</t>
        </is>
      </c>
      <c r="F131" s="5" t="inlineStr">
        <is>
          <t>1. Call GET /api/pipeline, /api/screening/roles, /api/hr-upload/... with the vendor token</t>
        </is>
      </c>
      <c r="G131" s="5" t="inlineStr">
        <is>
          <t>403 on every staff router (requireStaff), even if a module toggle was wrongly enabled for the vendor</t>
        </is>
      </c>
      <c r="H131" s="5" t="inlineStr">
        <is>
          <t>Security</t>
        </is>
      </c>
      <c r="I131" s="5" t="inlineStr">
        <is>
          <t>P1</t>
        </is>
      </c>
      <c r="J131" s="5" t="inlineStr">
        <is>
          <t>Vendor</t>
        </is>
      </c>
      <c r="K131" s="5" t="inlineStr">
        <is>
          <t>Automated - API</t>
        </is>
      </c>
      <c r="L131" s="5" t="inlineStr"/>
      <c r="M131" s="5" t="inlineStr">
        <is>
          <t>CHANGES-phase3-m6-vendor.md</t>
        </is>
      </c>
      <c r="N131" s="5" t="inlineStr">
        <is>
          <t>New</t>
        </is>
      </c>
      <c r="O131" s="5" t="inlineStr">
        <is>
          <t>Not Run</t>
        </is>
      </c>
      <c r="P131" s="5" t="inlineStr"/>
      <c r="Q131" s="5" t="inlineStr"/>
    </row>
    <row r="132">
      <c r="A132" s="5" t="inlineStr">
        <is>
          <t>AUTH-17</t>
        </is>
      </c>
      <c r="B132" s="5" t="inlineStr">
        <is>
          <t>Authentication &amp; Access</t>
        </is>
      </c>
      <c r="C132" s="5" t="inlineStr">
        <is>
          <t>Module access</t>
        </is>
      </c>
      <c r="D132" s="5" t="inlineStr">
        <is>
          <t>Disabled module is hidden and guarded</t>
        </is>
      </c>
      <c r="E132" s="5" t="inlineStr">
        <is>
          <t>Recruiter with 'Candidate Pipeline' module disabled (ADM-10)</t>
        </is>
      </c>
      <c r="F132" s="5" t="inlineStr">
        <is>
          <t>1. Log in as that recruiter
2. Check sidebar
3. Open /pipeline directly</t>
        </is>
      </c>
      <c r="G132" s="5" t="inlineStr">
        <is>
          <t>'Candidate Pipeline' not in sidebar; /pipeline is blocked by ModuleRoute</t>
        </is>
      </c>
      <c r="H132" s="5" t="inlineStr">
        <is>
          <t>Security</t>
        </is>
      </c>
      <c r="I132" s="5" t="inlineStr">
        <is>
          <t>P1</t>
        </is>
      </c>
      <c r="J132" s="5" t="inlineStr">
        <is>
          <t>Recruiter</t>
        </is>
      </c>
      <c r="K132" s="5" t="inlineStr">
        <is>
          <t>Automated - UI</t>
        </is>
      </c>
      <c r="L132" s="5" t="inlineStr"/>
      <c r="M132" s="5" t="inlineStr">
        <is>
          <t>App.jsx ModuleRoute</t>
        </is>
      </c>
      <c r="N132" s="5" t="inlineStr">
        <is>
          <t>New</t>
        </is>
      </c>
      <c r="O132" s="5" t="inlineStr">
        <is>
          <t>Not Run</t>
        </is>
      </c>
      <c r="P132" s="5" t="inlineStr"/>
      <c r="Q132" s="5" t="inlineStr"/>
    </row>
    <row r="133">
      <c r="A133" s="5" t="inlineStr">
        <is>
          <t>AUTH-18</t>
        </is>
      </c>
      <c r="B133" s="5" t="inlineStr">
        <is>
          <t>Authentication &amp; Access</t>
        </is>
      </c>
      <c r="C133" s="5" t="inlineStr">
        <is>
          <t>Captcha</t>
        </is>
      </c>
      <c r="D133" s="5" t="inlineStr">
        <is>
          <t>Login captcha when Turnstile is enabled</t>
        </is>
      </c>
      <c r="E133" s="5" t="inlineStr">
        <is>
          <t>VITE_TURNSTILE_SITE_KEY + secret configured</t>
        </is>
      </c>
      <c r="F133" s="5" t="inlineStr">
        <is>
          <t>1. Open /login
2. Submit without completing the captcha</t>
        </is>
      </c>
      <c r="G133" s="5" t="inlineStr">
        <is>
          <t>Error 'Captcha verification is required. Please refresh the page and try again.'</t>
        </is>
      </c>
      <c r="H133" s="5" t="inlineStr">
        <is>
          <t>Negative</t>
        </is>
      </c>
      <c r="I133" s="5" t="inlineStr">
        <is>
          <t>P3</t>
        </is>
      </c>
      <c r="J133" s="5" t="inlineStr">
        <is>
          <t>Any</t>
        </is>
      </c>
      <c r="K133" s="5" t="inlineStr">
        <is>
          <t>Manual - External</t>
        </is>
      </c>
      <c r="L133" s="5" t="inlineStr">
        <is>
          <t>Cloudflare Turnstile</t>
        </is>
      </c>
      <c r="M133" s="5" t="inlineStr">
        <is>
          <t>auth.controller.js</t>
        </is>
      </c>
      <c r="N133" s="5" t="inlineStr">
        <is>
          <t>New</t>
        </is>
      </c>
      <c r="O133" s="5" t="inlineStr">
        <is>
          <t>Not Run</t>
        </is>
      </c>
      <c r="P133" s="5" t="inlineStr"/>
      <c r="Q133" s="5" t="inlineStr"/>
    </row>
    <row r="134">
      <c r="A134" s="5" t="inlineStr">
        <is>
          <t>ADM-01</t>
        </is>
      </c>
      <c r="B134" s="5" t="inlineStr">
        <is>
          <t>Admin Portal</t>
        </is>
      </c>
      <c r="C134" s="5" t="inlineStr">
        <is>
          <t>Users</t>
        </is>
      </c>
      <c r="D134" s="5" t="inlineStr">
        <is>
          <t>Create a recruiter user</t>
        </is>
      </c>
      <c r="E134" s="5" t="inlineStr">
        <is>
          <t>Superadmin logged in; at least one company</t>
        </is>
      </c>
      <c r="F134" s="5" t="inlineStr">
        <is>
          <t>1. Admin Portal &gt; Users &gt; Add user
2. Enter email, name, role = Recruiter, company, password
3. Save</t>
        </is>
      </c>
      <c r="G134" s="5" t="inlineStr">
        <is>
          <t>User appears in the list as Active with role Recruiter; can log in (AUTH-01)</t>
        </is>
      </c>
      <c r="H134" s="5" t="inlineStr">
        <is>
          <t>Positive</t>
        </is>
      </c>
      <c r="I134" s="5" t="inlineStr">
        <is>
          <t>P1</t>
        </is>
      </c>
      <c r="J134" s="5" t="inlineStr">
        <is>
          <t>Superadmin</t>
        </is>
      </c>
      <c r="K134" s="5" t="inlineStr">
        <is>
          <t>Automated - UI</t>
        </is>
      </c>
      <c r="L134" s="5" t="inlineStr"/>
      <c r="M134" s="5" t="inlineStr">
        <is>
          <t>admin.controller.js</t>
        </is>
      </c>
      <c r="N134" s="5" t="inlineStr">
        <is>
          <t>New</t>
        </is>
      </c>
      <c r="O134" s="5" t="inlineStr">
        <is>
          <t>Not Run</t>
        </is>
      </c>
      <c r="P134" s="5" t="inlineStr"/>
      <c r="Q134" s="5" t="inlineStr"/>
    </row>
    <row r="135">
      <c r="A135" s="5" t="inlineStr">
        <is>
          <t>ADM-02</t>
        </is>
      </c>
      <c r="B135" s="5" t="inlineStr">
        <is>
          <t>Admin Portal</t>
        </is>
      </c>
      <c r="C135" s="5" t="inlineStr">
        <is>
          <t>Users</t>
        </is>
      </c>
      <c r="D135" s="5" t="inlineStr">
        <is>
          <t>Duplicate email is flagged</t>
        </is>
      </c>
      <c r="E135" s="5" t="inlineStr">
        <is>
          <t>User from ADM-01 exists</t>
        </is>
      </c>
      <c r="F135" s="5" t="inlineStr">
        <is>
          <t>1. Add user with the same email</t>
        </is>
      </c>
      <c r="G135" s="5" t="inlineStr">
        <is>
          <t>Email-availability check flags the address as taken; user not created</t>
        </is>
      </c>
      <c r="H135" s="5" t="inlineStr">
        <is>
          <t>Negative</t>
        </is>
      </c>
      <c r="I135" s="5" t="inlineStr">
        <is>
          <t>P2</t>
        </is>
      </c>
      <c r="J135" s="5" t="inlineStr">
        <is>
          <t>Superadmin</t>
        </is>
      </c>
      <c r="K135" s="5" t="inlineStr">
        <is>
          <t>Automated - UI</t>
        </is>
      </c>
      <c r="L135" s="5" t="inlineStr"/>
      <c r="M135" s="5" t="inlineStr">
        <is>
          <t>admin.routes.js check-email</t>
        </is>
      </c>
      <c r="N135" s="5" t="inlineStr">
        <is>
          <t>New</t>
        </is>
      </c>
      <c r="O135" s="5" t="inlineStr">
        <is>
          <t>Not Run</t>
        </is>
      </c>
      <c r="P135" s="5" t="inlineStr"/>
      <c r="Q135" s="5" t="inlineStr"/>
    </row>
    <row r="136">
      <c r="A136" s="5" t="inlineStr">
        <is>
          <t>ADM-03</t>
        </is>
      </c>
      <c r="B136" s="5" t="inlineStr">
        <is>
          <t>Admin Portal</t>
        </is>
      </c>
      <c r="C136" s="5" t="inlineStr">
        <is>
          <t>Users</t>
        </is>
      </c>
      <c r="D136" s="5" t="inlineStr">
        <is>
          <t>Company is mandatory for company roles</t>
        </is>
      </c>
      <c r="E136" s="5" t="inlineStr"/>
      <c r="F136" s="5" t="inlineStr">
        <is>
          <t>1. Add user with role Admin/Recruiter/Vendor and no company</t>
        </is>
      </c>
      <c r="G136" s="5" t="inlineStr">
        <is>
          <t>Error 'A company is required for this role.'</t>
        </is>
      </c>
      <c r="H136" s="5" t="inlineStr">
        <is>
          <t>Negative</t>
        </is>
      </c>
      <c r="I136" s="5" t="inlineStr">
        <is>
          <t>P2</t>
        </is>
      </c>
      <c r="J136" s="5" t="inlineStr">
        <is>
          <t>Superadmin</t>
        </is>
      </c>
      <c r="K136" s="5" t="inlineStr">
        <is>
          <t>Automated - UI</t>
        </is>
      </c>
      <c r="L136" s="5" t="inlineStr"/>
      <c r="M136" s="5" t="inlineStr">
        <is>
          <t>admin.controller.js</t>
        </is>
      </c>
      <c r="N136" s="5" t="inlineStr">
        <is>
          <t>New</t>
        </is>
      </c>
      <c r="O136" s="5" t="inlineStr">
        <is>
          <t>Not Run</t>
        </is>
      </c>
      <c r="P136" s="5" t="inlineStr"/>
      <c r="Q136" s="5" t="inlineStr"/>
    </row>
    <row r="137">
      <c r="A137" s="5" t="inlineStr">
        <is>
          <t>ADM-04</t>
        </is>
      </c>
      <c r="B137" s="5" t="inlineStr">
        <is>
          <t>Admin Portal</t>
        </is>
      </c>
      <c r="C137" s="5" t="inlineStr">
        <is>
          <t>Users</t>
        </is>
      </c>
      <c r="D137" s="5" t="inlineStr">
        <is>
          <t>Company admin cannot create a Super Admin</t>
        </is>
      </c>
      <c r="E137" s="5" t="inlineStr">
        <is>
          <t>Logged in as company Admin</t>
        </is>
      </c>
      <c r="F137" s="5" t="inlineStr">
        <is>
          <t>1. Add user - open the Role dropdown
2. (API) POST /api/admin/users/create with role superadmin</t>
        </is>
      </c>
      <c r="G137" s="5" t="inlineStr">
        <is>
          <t>'Super Admin' not offered; API returns 'Admins cannot create SuperAdmin accounts.' (403)</t>
        </is>
      </c>
      <c r="H137" s="5" t="inlineStr">
        <is>
          <t>Security</t>
        </is>
      </c>
      <c r="I137" s="5" t="inlineStr">
        <is>
          <t>P1</t>
        </is>
      </c>
      <c r="J137" s="5" t="inlineStr">
        <is>
          <t>Admin</t>
        </is>
      </c>
      <c r="K137" s="5" t="inlineStr">
        <is>
          <t>Automated - UI</t>
        </is>
      </c>
      <c r="L137" s="5" t="inlineStr"/>
      <c r="M137" s="5" t="inlineStr">
        <is>
          <t>admin.controller.js</t>
        </is>
      </c>
      <c r="N137" s="5" t="inlineStr">
        <is>
          <t>New</t>
        </is>
      </c>
      <c r="O137" s="5" t="inlineStr">
        <is>
          <t>Not Run</t>
        </is>
      </c>
      <c r="P137" s="5" t="inlineStr"/>
      <c r="Q137" s="5" t="inlineStr"/>
    </row>
    <row r="138">
      <c r="A138" s="5" t="inlineStr">
        <is>
          <t>ADM-05</t>
        </is>
      </c>
      <c r="B138" s="5" t="inlineStr">
        <is>
          <t>Admin Portal</t>
        </is>
      </c>
      <c r="C138" s="5" t="inlineStr">
        <is>
          <t>Users</t>
        </is>
      </c>
      <c r="D138" s="5" t="inlineStr">
        <is>
          <t>Edit a user</t>
        </is>
      </c>
      <c r="E138" s="5" t="inlineStr"/>
      <c r="F138" s="5" t="inlineStr">
        <is>
          <t>1. Select a user &gt; Edit
2. Change name / company
3. Save</t>
        </is>
      </c>
      <c r="G138" s="5" t="inlineStr">
        <is>
          <t>'User updated successfully.'; list reflects the change</t>
        </is>
      </c>
      <c r="H138" s="5" t="inlineStr">
        <is>
          <t>Positive</t>
        </is>
      </c>
      <c r="I138" s="5" t="inlineStr">
        <is>
          <t>P2</t>
        </is>
      </c>
      <c r="J138" s="5" t="inlineStr">
        <is>
          <t>Superadmin</t>
        </is>
      </c>
      <c r="K138" s="5" t="inlineStr">
        <is>
          <t>Automated - UI</t>
        </is>
      </c>
      <c r="L138" s="5" t="inlineStr"/>
      <c r="M138" s="5" t="inlineStr">
        <is>
          <t>AdminDashboard.jsx</t>
        </is>
      </c>
      <c r="N138" s="5" t="inlineStr">
        <is>
          <t>New</t>
        </is>
      </c>
      <c r="O138" s="5" t="inlineStr">
        <is>
          <t>Not Run</t>
        </is>
      </c>
      <c r="P138" s="5" t="inlineStr"/>
      <c r="Q138" s="5" t="inlineStr"/>
    </row>
    <row r="139">
      <c r="A139" s="5" t="inlineStr">
        <is>
          <t>ADM-06</t>
        </is>
      </c>
      <c r="B139" s="5" t="inlineStr">
        <is>
          <t>Admin Portal</t>
        </is>
      </c>
      <c r="C139" s="5" t="inlineStr">
        <is>
          <t>Users</t>
        </is>
      </c>
      <c r="D139" s="5" t="inlineStr">
        <is>
          <t>Cannot change own role</t>
        </is>
      </c>
      <c r="E139" s="5" t="inlineStr"/>
      <c r="F139" s="5" t="inlineStr">
        <is>
          <t>1. Edit your own user and change the role</t>
        </is>
      </c>
      <c r="G139" s="5" t="inlineStr">
        <is>
          <t>Error 'You cannot change your own role.'</t>
        </is>
      </c>
      <c r="H139" s="5" t="inlineStr">
        <is>
          <t>Negative</t>
        </is>
      </c>
      <c r="I139" s="5" t="inlineStr">
        <is>
          <t>P2</t>
        </is>
      </c>
      <c r="J139" s="5" t="inlineStr">
        <is>
          <t>Admin</t>
        </is>
      </c>
      <c r="K139" s="5" t="inlineStr">
        <is>
          <t>Automated - UI</t>
        </is>
      </c>
      <c r="L139" s="5" t="inlineStr"/>
      <c r="M139" s="5" t="inlineStr">
        <is>
          <t>admin.controller.js</t>
        </is>
      </c>
      <c r="N139" s="5" t="inlineStr">
        <is>
          <t>New</t>
        </is>
      </c>
      <c r="O139" s="5" t="inlineStr">
        <is>
          <t>Not Run</t>
        </is>
      </c>
      <c r="P139" s="5" t="inlineStr"/>
      <c r="Q139" s="5" t="inlineStr"/>
    </row>
    <row r="140">
      <c r="A140" s="5" t="inlineStr">
        <is>
          <t>ADM-07</t>
        </is>
      </c>
      <c r="B140" s="5" t="inlineStr">
        <is>
          <t>Admin Portal</t>
        </is>
      </c>
      <c r="C140" s="5" t="inlineStr">
        <is>
          <t>Users</t>
        </is>
      </c>
      <c r="D140" s="5" t="inlineStr">
        <is>
          <t>Deactivate and reactivate a user</t>
        </is>
      </c>
      <c r="E140" s="5" t="inlineStr"/>
      <c r="F140" s="5" t="inlineStr">
        <is>
          <t>1. Toggle a recruiter to Inactive
2. Try to log in as them (AUTH-05)
3. Toggle back to Active</t>
        </is>
      </c>
      <c r="G140" s="5" t="inlineStr">
        <is>
          <t>Status shows Inactive and login is refused; after reactivation login works</t>
        </is>
      </c>
      <c r="H140" s="5" t="inlineStr">
        <is>
          <t>Positive</t>
        </is>
      </c>
      <c r="I140" s="5" t="inlineStr">
        <is>
          <t>P1</t>
        </is>
      </c>
      <c r="J140" s="5" t="inlineStr">
        <is>
          <t>Superadmin</t>
        </is>
      </c>
      <c r="K140" s="5" t="inlineStr">
        <is>
          <t>Automated - UI</t>
        </is>
      </c>
      <c r="L140" s="5" t="inlineStr"/>
      <c r="M140" s="5" t="inlineStr">
        <is>
          <t>admin.controller.js</t>
        </is>
      </c>
      <c r="N140" s="5" t="inlineStr">
        <is>
          <t>New</t>
        </is>
      </c>
      <c r="O140" s="5" t="inlineStr">
        <is>
          <t>Not Run</t>
        </is>
      </c>
      <c r="P140" s="5" t="inlineStr"/>
      <c r="Q140" s="5" t="inlineStr"/>
    </row>
    <row r="141">
      <c r="A141" s="5" t="inlineStr">
        <is>
          <t>ADM-08</t>
        </is>
      </c>
      <c r="B141" s="5" t="inlineStr">
        <is>
          <t>Admin Portal</t>
        </is>
      </c>
      <c r="C141" s="5" t="inlineStr">
        <is>
          <t>Users</t>
        </is>
      </c>
      <c r="D141" s="5" t="inlineStr">
        <is>
          <t>Cannot change own status</t>
        </is>
      </c>
      <c r="E141" s="5" t="inlineStr"/>
      <c r="F141" s="5" t="inlineStr">
        <is>
          <t>1. Toggle your own account's status</t>
        </is>
      </c>
      <c r="G141" s="5" t="inlineStr">
        <is>
          <t>Error 'You cannot change the status of your own account.'</t>
        </is>
      </c>
      <c r="H141" s="5" t="inlineStr">
        <is>
          <t>Negative</t>
        </is>
      </c>
      <c r="I141" s="5" t="inlineStr">
        <is>
          <t>P3</t>
        </is>
      </c>
      <c r="J141" s="5" t="inlineStr">
        <is>
          <t>Admin</t>
        </is>
      </c>
      <c r="K141" s="5" t="inlineStr">
        <is>
          <t>Automated - UI</t>
        </is>
      </c>
      <c r="L141" s="5" t="inlineStr"/>
      <c r="M141" s="5" t="inlineStr">
        <is>
          <t>admin.controller.js</t>
        </is>
      </c>
      <c r="N141" s="5" t="inlineStr">
        <is>
          <t>New</t>
        </is>
      </c>
      <c r="O141" s="5" t="inlineStr">
        <is>
          <t>Not Run</t>
        </is>
      </c>
      <c r="P141" s="5" t="inlineStr"/>
      <c r="Q141" s="5" t="inlineStr"/>
    </row>
    <row r="142">
      <c r="A142" s="5" t="inlineStr">
        <is>
          <t>ADM-09</t>
        </is>
      </c>
      <c r="B142" s="5" t="inlineStr">
        <is>
          <t>Admin Portal</t>
        </is>
      </c>
      <c r="C142" s="5" t="inlineStr">
        <is>
          <t>Users</t>
        </is>
      </c>
      <c r="D142" s="5" t="inlineStr">
        <is>
          <t>Delete a user (superadmin only)</t>
        </is>
      </c>
      <c r="E142" s="5" t="inlineStr">
        <is>
          <t>Disposable user</t>
        </is>
      </c>
      <c r="F142" s="5" t="inlineStr">
        <is>
          <t>1. As Superadmin, delete the user
2. As company Admin, try to delete a user</t>
        </is>
      </c>
      <c r="G142" s="5" t="inlineStr">
        <is>
          <t>Superadmin: 'User deleted permanently.'; Admin: 'Only a SuperAdmin can delete users.'</t>
        </is>
      </c>
      <c r="H142" s="5" t="inlineStr">
        <is>
          <t>Security</t>
        </is>
      </c>
      <c r="I142" s="5" t="inlineStr">
        <is>
          <t>P2</t>
        </is>
      </c>
      <c r="J142" s="5" t="inlineStr">
        <is>
          <t>Superadmin / Admin</t>
        </is>
      </c>
      <c r="K142" s="5" t="inlineStr">
        <is>
          <t>Automated - UI</t>
        </is>
      </c>
      <c r="L142" s="5" t="inlineStr"/>
      <c r="M142" s="5" t="inlineStr">
        <is>
          <t>admin.controller.js</t>
        </is>
      </c>
      <c r="N142" s="5" t="inlineStr">
        <is>
          <t>New</t>
        </is>
      </c>
      <c r="O142" s="5" t="inlineStr">
        <is>
          <t>Not Run</t>
        </is>
      </c>
      <c r="P142" s="5" t="inlineStr"/>
      <c r="Q142" s="5" t="inlineStr"/>
    </row>
    <row r="143">
      <c r="A143" s="5" t="inlineStr">
        <is>
          <t>ADM-10</t>
        </is>
      </c>
      <c r="B143" s="5" t="inlineStr">
        <is>
          <t>Admin Portal</t>
        </is>
      </c>
      <c r="C143" s="5" t="inlineStr">
        <is>
          <t>Module access</t>
        </is>
      </c>
      <c r="D143" s="5" t="inlineStr">
        <is>
          <t>Toggle a module for a user</t>
        </is>
      </c>
      <c r="E143" s="5" t="inlineStr">
        <is>
          <t>Recruiter user</t>
        </is>
      </c>
      <c r="F143" s="5" t="inlineStr">
        <is>
          <t>1. Select the user &gt; Module Access
2. Switch off 'Candidate Pipeline'
3. Log in as the user</t>
        </is>
      </c>
      <c r="G143" s="5" t="inlineStr">
        <is>
          <t>Toggle saved; module hidden and guarded for that user (AUTH-17); switching it back on restores access</t>
        </is>
      </c>
      <c r="H143" s="5" t="inlineStr">
        <is>
          <t>Positive</t>
        </is>
      </c>
      <c r="I143" s="5" t="inlineStr">
        <is>
          <t>P1</t>
        </is>
      </c>
      <c r="J143" s="5" t="inlineStr">
        <is>
          <t>Superadmin</t>
        </is>
      </c>
      <c r="K143" s="5" t="inlineStr">
        <is>
          <t>Automated - UI</t>
        </is>
      </c>
      <c r="L143" s="5" t="inlineStr"/>
      <c r="M143" s="5" t="inlineStr">
        <is>
          <t>admin.routes.js modules/set-access</t>
        </is>
      </c>
      <c r="N143" s="5" t="inlineStr">
        <is>
          <t>New</t>
        </is>
      </c>
      <c r="O143" s="5" t="inlineStr">
        <is>
          <t>Not Run</t>
        </is>
      </c>
      <c r="P143" s="5" t="inlineStr"/>
      <c r="Q143" s="5" t="inlineStr"/>
    </row>
    <row r="144">
      <c r="A144" s="5" t="inlineStr">
        <is>
          <t>ADM-11</t>
        </is>
      </c>
      <c r="B144" s="5" t="inlineStr">
        <is>
          <t>Admin Portal</t>
        </is>
      </c>
      <c r="C144" s="5" t="inlineStr">
        <is>
          <t>Users</t>
        </is>
      </c>
      <c r="D144" s="5" t="inlineStr">
        <is>
          <t>Filter the user list</t>
        </is>
      </c>
      <c r="E144" s="5" t="inlineStr">
        <is>
          <t>Users of several roles/companies</t>
        </is>
      </c>
      <c r="F144" s="5" t="inlineStr">
        <is>
          <t>1. Filter by Role, Status (Active/Inactive), Company</t>
        </is>
      </c>
      <c r="G144" s="5" t="inlineStr">
        <is>
          <t>List narrows to matching users; 'All' restores the full list</t>
        </is>
      </c>
      <c r="H144" s="5" t="inlineStr">
        <is>
          <t>Positive</t>
        </is>
      </c>
      <c r="I144" s="5" t="inlineStr">
        <is>
          <t>P3</t>
        </is>
      </c>
      <c r="J144" s="5" t="inlineStr">
        <is>
          <t>Superadmin</t>
        </is>
      </c>
      <c r="K144" s="5" t="inlineStr">
        <is>
          <t>Automated - UI</t>
        </is>
      </c>
      <c r="L144" s="5" t="inlineStr"/>
      <c r="M144" s="5" t="inlineStr">
        <is>
          <t>AdminDashboard.jsx</t>
        </is>
      </c>
      <c r="N144" s="5" t="inlineStr">
        <is>
          <t>New</t>
        </is>
      </c>
      <c r="O144" s="5" t="inlineStr">
        <is>
          <t>Not Run</t>
        </is>
      </c>
      <c r="P144" s="5" t="inlineStr"/>
      <c r="Q144" s="5" t="inlineStr"/>
    </row>
    <row r="145">
      <c r="A145" s="5" t="inlineStr">
        <is>
          <t>ADM-12</t>
        </is>
      </c>
      <c r="B145" s="5" t="inlineStr">
        <is>
          <t>Admin Portal</t>
        </is>
      </c>
      <c r="C145" s="5" t="inlineStr">
        <is>
          <t>Users</t>
        </is>
      </c>
      <c r="D145" s="5" t="inlineStr">
        <is>
          <t>Export users CSV</t>
        </is>
      </c>
      <c r="E145" s="5" t="inlineStr"/>
      <c r="F145" s="5" t="inlineStr">
        <is>
          <t>1. Click Export on the user list</t>
        </is>
      </c>
      <c r="G145" s="5" t="inlineStr">
        <is>
          <t>CSV downloads with one row per user</t>
        </is>
      </c>
      <c r="H145" s="5" t="inlineStr">
        <is>
          <t>Positive</t>
        </is>
      </c>
      <c r="I145" s="5" t="inlineStr">
        <is>
          <t>P3</t>
        </is>
      </c>
      <c r="J145" s="5" t="inlineStr">
        <is>
          <t>Superadmin</t>
        </is>
      </c>
      <c r="K145" s="5" t="inlineStr">
        <is>
          <t>Automated - UI</t>
        </is>
      </c>
      <c r="L145" s="5" t="inlineStr"/>
      <c r="M145" s="5" t="inlineStr">
        <is>
          <t>admin.routes.js users/export</t>
        </is>
      </c>
      <c r="N145" s="5" t="inlineStr">
        <is>
          <t>New</t>
        </is>
      </c>
      <c r="O145" s="5" t="inlineStr">
        <is>
          <t>Not Run</t>
        </is>
      </c>
      <c r="P145" s="5" t="inlineStr"/>
      <c r="Q145" s="5" t="inlineStr"/>
    </row>
    <row r="146">
      <c r="A146" s="5" t="inlineStr">
        <is>
          <t>ADM-13</t>
        </is>
      </c>
      <c r="B146" s="5" t="inlineStr">
        <is>
          <t>Admin Portal</t>
        </is>
      </c>
      <c r="C146" s="5" t="inlineStr">
        <is>
          <t>Companies</t>
        </is>
      </c>
      <c r="D146" s="5" t="inlineStr">
        <is>
          <t>Create / edit / deactivate a company</t>
        </is>
      </c>
      <c r="E146" s="5" t="inlineStr">
        <is>
          <t>Superadmin</t>
        </is>
      </c>
      <c r="F146" s="5" t="inlineStr">
        <is>
          <t>1. Companies &gt; Add company (name, slug, domain)
2. Edit it
3. Toggle status</t>
        </is>
      </c>
      <c r="G146" s="5" t="inlineStr">
        <is>
          <t>'Company created.' / 'Company updated.'; status change reflected</t>
        </is>
      </c>
      <c r="H146" s="5" t="inlineStr">
        <is>
          <t>Positive</t>
        </is>
      </c>
      <c r="I146" s="5" t="inlineStr">
        <is>
          <t>P3</t>
        </is>
      </c>
      <c r="J146" s="5" t="inlineStr">
        <is>
          <t>Superadmin</t>
        </is>
      </c>
      <c r="K146" s="5" t="inlineStr">
        <is>
          <t>Automated - UI</t>
        </is>
      </c>
      <c r="L146" s="5" t="inlineStr"/>
      <c r="M146" s="5" t="inlineStr">
        <is>
          <t>AdminDashboard.jsx</t>
        </is>
      </c>
      <c r="N146" s="5" t="inlineStr">
        <is>
          <t>New</t>
        </is>
      </c>
      <c r="O146" s="5" t="inlineStr">
        <is>
          <t>Not Run</t>
        </is>
      </c>
      <c r="P146" s="5" t="inlineStr"/>
      <c r="Q146" s="5" t="inlineStr"/>
    </row>
    <row r="147">
      <c r="A147" s="5" t="inlineStr">
        <is>
          <t>ADM-14</t>
        </is>
      </c>
      <c r="B147" s="5" t="inlineStr">
        <is>
          <t>Admin Portal</t>
        </is>
      </c>
      <c r="C147" s="5" t="inlineStr">
        <is>
          <t>Referral audit</t>
        </is>
      </c>
      <c r="D147" s="5" t="inlineStr">
        <is>
          <t>Referral audit log and export</t>
        </is>
      </c>
      <c r="E147" s="5" t="inlineStr">
        <is>
          <t>At least one referral set/removed (CAND-11/12)</t>
        </is>
      </c>
      <c r="F147" s="5" t="inlineStr">
        <is>
          <t>1. Open the referral log
2. Export</t>
        </is>
      </c>
      <c r="G147" s="5" t="inlineStr">
        <is>
          <t>Each set/remove event listed with who, when and reason; CSV downloads</t>
        </is>
      </c>
      <c r="H147" s="5" t="inlineStr">
        <is>
          <t>Positive</t>
        </is>
      </c>
      <c r="I147" s="5" t="inlineStr">
        <is>
          <t>P3</t>
        </is>
      </c>
      <c r="J147" s="5" t="inlineStr">
        <is>
          <t>Admin</t>
        </is>
      </c>
      <c r="K147" s="5" t="inlineStr">
        <is>
          <t>Automated - UI</t>
        </is>
      </c>
      <c r="L147" s="5" t="inlineStr"/>
      <c r="M147" s="5" t="inlineStr">
        <is>
          <t>admin.routes.js referral-log</t>
        </is>
      </c>
      <c r="N147" s="5" t="inlineStr">
        <is>
          <t>New</t>
        </is>
      </c>
      <c r="O147" s="5" t="inlineStr">
        <is>
          <t>Not Run</t>
        </is>
      </c>
      <c r="P147" s="5" t="inlineStr"/>
      <c r="Q147" s="5" t="inlineStr"/>
    </row>
    <row r="148">
      <c r="A148" s="5" t="inlineStr">
        <is>
          <t>DASH-01</t>
        </is>
      </c>
      <c r="B148" s="5" t="inlineStr">
        <is>
          <t>Dashboard &amp; Notifications</t>
        </is>
      </c>
      <c r="C148" s="5" t="inlineStr">
        <is>
          <t>Dashboard</t>
        </is>
      </c>
      <c r="D148" s="5" t="inlineStr">
        <is>
          <t>Dashboard loads stats and recent uploads</t>
        </is>
      </c>
      <c r="E148" s="5" t="inlineStr">
        <is>
          <t>Seeded candidates</t>
        </is>
      </c>
      <c r="F148" s="5" t="inlineStr">
        <is>
          <t>1. Log in as recruiter
2. Observe /dashboard</t>
        </is>
      </c>
      <c r="G148" s="5" t="inlineStr">
        <is>
          <t>KPI cards, recent uploads and recruiter breakdown load without errors</t>
        </is>
      </c>
      <c r="H148" s="5" t="inlineStr">
        <is>
          <t>Positive</t>
        </is>
      </c>
      <c r="I148" s="5" t="inlineStr">
        <is>
          <t>P2</t>
        </is>
      </c>
      <c r="J148" s="5" t="inlineStr">
        <is>
          <t>Recruiter</t>
        </is>
      </c>
      <c r="K148" s="5" t="inlineStr">
        <is>
          <t>Automated - UI</t>
        </is>
      </c>
      <c r="L148" s="5" t="inlineStr"/>
      <c r="M148" s="5" t="inlineStr">
        <is>
          <t>dashboard.routes.js</t>
        </is>
      </c>
      <c r="N148" s="5" t="inlineStr">
        <is>
          <t>New</t>
        </is>
      </c>
      <c r="O148" s="5" t="inlineStr">
        <is>
          <t>Not Run</t>
        </is>
      </c>
      <c r="P148" s="5" t="inlineStr"/>
      <c r="Q148" s="5" t="inlineStr"/>
    </row>
    <row r="149">
      <c r="A149" s="5" t="inlineStr">
        <is>
          <t>DASH-02</t>
        </is>
      </c>
      <c r="B149" s="5" t="inlineStr">
        <is>
          <t>Dashboard &amp; Notifications</t>
        </is>
      </c>
      <c r="C149" s="5" t="inlineStr">
        <is>
          <t>Dashboard</t>
        </is>
      </c>
      <c r="D149" s="5" t="inlineStr">
        <is>
          <t>Quick Actions navigate</t>
        </is>
      </c>
      <c r="E149" s="5" t="inlineStr"/>
      <c r="F149" s="5" t="inlineStr">
        <is>
          <t>1. Click each Quick Action (Candidate Screening, Recruitment Analytics, New MRF Request, Search &amp; Edit Candidates, HR Manual Upload, Vendor Upload, System Configuration)</t>
        </is>
      </c>
      <c r="G149" s="5" t="inlineStr">
        <is>
          <t>Each opens the matching page</t>
        </is>
      </c>
      <c r="H149" s="5" t="inlineStr">
        <is>
          <t>Positive</t>
        </is>
      </c>
      <c r="I149" s="5" t="inlineStr">
        <is>
          <t>P3</t>
        </is>
      </c>
      <c r="J149" s="5" t="inlineStr">
        <is>
          <t>Recruiter</t>
        </is>
      </c>
      <c r="K149" s="5" t="inlineStr">
        <is>
          <t>Automated - UI</t>
        </is>
      </c>
      <c r="L149" s="5" t="inlineStr"/>
      <c r="M149" s="5" t="inlineStr">
        <is>
          <t>Dashboard.jsx</t>
        </is>
      </c>
      <c r="N149" s="5" t="inlineStr">
        <is>
          <t>New</t>
        </is>
      </c>
      <c r="O149" s="5" t="inlineStr">
        <is>
          <t>Not Run</t>
        </is>
      </c>
      <c r="P149" s="5" t="inlineStr"/>
      <c r="Q149" s="5" t="inlineStr"/>
    </row>
    <row r="150">
      <c r="A150" s="5" t="inlineStr">
        <is>
          <t>DASH-03</t>
        </is>
      </c>
      <c r="B150" s="5" t="inlineStr">
        <is>
          <t>Dashboard &amp; Notifications</t>
        </is>
      </c>
      <c r="C150" s="5" t="inlineStr">
        <is>
          <t>Dashboard</t>
        </is>
      </c>
      <c r="D150" s="5" t="inlineStr">
        <is>
          <t>Shortlist KPI excludes closed candidates</t>
        </is>
      </c>
      <c r="E150" s="5" t="inlineStr">
        <is>
          <t>A candidate closed as Joined (OFR-05)</t>
        </is>
      </c>
      <c r="F150" s="5" t="inlineStr">
        <is>
          <t>1. Compare the Shortlisted KPI before and after closing a candidate</t>
        </is>
      </c>
      <c r="G150" s="5" t="inlineStr">
        <is>
          <t>Closed candidate no longer counts as Shortlisted; recruiter leaderboard credit is kept (not deducted on hire)</t>
        </is>
      </c>
      <c r="H150" s="5" t="inlineStr">
        <is>
          <t>Positive</t>
        </is>
      </c>
      <c r="I150" s="5" t="inlineStr">
        <is>
          <t>P3</t>
        </is>
      </c>
      <c r="J150" s="5" t="inlineStr">
        <is>
          <t>Recruiter</t>
        </is>
      </c>
      <c r="K150" s="5" t="inlineStr">
        <is>
          <t>Automated - UI (fixture)</t>
        </is>
      </c>
      <c r="L150" s="5" t="inlineStr"/>
      <c r="M150" s="5" t="inlineStr">
        <is>
          <t>CHANGES-2026-08-26-candidate-closure-graceful-exit.md</t>
        </is>
      </c>
      <c r="N150" s="5" t="inlineStr">
        <is>
          <t>New</t>
        </is>
      </c>
      <c r="O150" s="5" t="inlineStr">
        <is>
          <t>Not Run</t>
        </is>
      </c>
      <c r="P150" s="5" t="inlineStr"/>
      <c r="Q150" s="5" t="inlineStr"/>
    </row>
    <row r="151">
      <c r="A151" s="5" t="inlineStr">
        <is>
          <t>NTF-01</t>
        </is>
      </c>
      <c r="B151" s="5" t="inlineStr">
        <is>
          <t>Dashboard &amp; Notifications</t>
        </is>
      </c>
      <c r="C151" s="5" t="inlineStr">
        <is>
          <t>Notifications</t>
        </is>
      </c>
      <c r="D151" s="5" t="inlineStr">
        <is>
          <t>Bell shows unread count</t>
        </is>
      </c>
      <c r="E151" s="5" t="inlineStr">
        <is>
          <t>An outcome recorded by another user</t>
        </is>
      </c>
      <c r="F151" s="5" t="inlineStr">
        <is>
          <t>1. Observe the bell icon
2. Open the list</t>
        </is>
      </c>
      <c r="G151" s="5" t="inlineStr">
        <is>
          <t>Unread count badge matches; notification lists the event</t>
        </is>
      </c>
      <c r="H151" s="5" t="inlineStr">
        <is>
          <t>Positive</t>
        </is>
      </c>
      <c r="I151" s="5" t="inlineStr">
        <is>
          <t>P3</t>
        </is>
      </c>
      <c r="J151" s="5" t="inlineStr">
        <is>
          <t>Recruiter</t>
        </is>
      </c>
      <c r="K151" s="5" t="inlineStr">
        <is>
          <t>Automated - UI (fixture)</t>
        </is>
      </c>
      <c r="L151" s="5" t="inlineStr"/>
      <c r="M151" s="5" t="inlineStr">
        <is>
          <t>notification.routes.js</t>
        </is>
      </c>
      <c r="N151" s="5" t="inlineStr">
        <is>
          <t>New</t>
        </is>
      </c>
      <c r="O151" s="5" t="inlineStr">
        <is>
          <t>Not Run</t>
        </is>
      </c>
      <c r="P151" s="5" t="inlineStr"/>
      <c r="Q151" s="5" t="inlineStr"/>
    </row>
    <row r="152">
      <c r="A152" s="5" t="inlineStr">
        <is>
          <t>NTF-02</t>
        </is>
      </c>
      <c r="B152" s="5" t="inlineStr">
        <is>
          <t>Dashboard &amp; Notifications</t>
        </is>
      </c>
      <c r="C152" s="5" t="inlineStr">
        <is>
          <t>Notifications</t>
        </is>
      </c>
      <c r="D152" s="5" t="inlineStr">
        <is>
          <t>Mark all notifications read</t>
        </is>
      </c>
      <c r="E152" s="5" t="inlineStr">
        <is>
          <t>Unread notifications exist</t>
        </is>
      </c>
      <c r="F152" s="5" t="inlineStr">
        <is>
          <t>1. Open the bell &gt; Mark all read</t>
        </is>
      </c>
      <c r="G152" s="5" t="inlineStr">
        <is>
          <t>Badge clears; items shown as read after reload</t>
        </is>
      </c>
      <c r="H152" s="5" t="inlineStr">
        <is>
          <t>Positive</t>
        </is>
      </c>
      <c r="I152" s="5" t="inlineStr">
        <is>
          <t>P3</t>
        </is>
      </c>
      <c r="J152" s="5" t="inlineStr">
        <is>
          <t>Recruiter</t>
        </is>
      </c>
      <c r="K152" s="5" t="inlineStr">
        <is>
          <t>Automated - UI</t>
        </is>
      </c>
      <c r="L152" s="5" t="inlineStr"/>
      <c r="M152" s="5" t="inlineStr">
        <is>
          <t>notification.routes.js</t>
        </is>
      </c>
      <c r="N152" s="5" t="inlineStr">
        <is>
          <t>New</t>
        </is>
      </c>
      <c r="O152" s="5" t="inlineStr">
        <is>
          <t>Not Run</t>
        </is>
      </c>
      <c r="P152" s="5" t="inlineStr"/>
      <c r="Q152" s="5" t="inlineStr"/>
    </row>
    <row r="153">
      <c r="A153" s="5" t="inlineStr">
        <is>
          <t>MRF-01</t>
        </is>
      </c>
      <c r="B153" s="5" t="inlineStr">
        <is>
          <t>MRF</t>
        </is>
      </c>
      <c r="C153" s="5" t="inlineStr">
        <is>
          <t>New MRF Request</t>
        </is>
      </c>
      <c r="D153" s="5" t="inlineStr">
        <is>
          <t>Submit a valid New MRF Request</t>
        </is>
      </c>
      <c r="E153" s="5" t="inlineStr">
        <is>
          <t>Recruiter logged in</t>
        </is>
      </c>
      <c r="F153" s="5" t="inlineStr">
        <is>
          <t>1. Open /mrf
2. Fill First Name, Last Name, Email, Role, JD Link, Budget Min 500000, Budget Max 1000000
3. Click 'Submit Request'</t>
        </is>
      </c>
      <c r="G153" s="5" t="inlineStr">
        <is>
          <t>Toast 'MRF Request submitted successfully!'; form clears; new row in Records with MRF STATUS = PENDING; hiring manager email with the /mrf-submit link sent (inbox manual)</t>
        </is>
      </c>
      <c r="H153" s="5" t="inlineStr">
        <is>
          <t>Positive</t>
        </is>
      </c>
      <c r="I153" s="5" t="inlineStr">
        <is>
          <t>P1</t>
        </is>
      </c>
      <c r="J153" s="5" t="inlineStr">
        <is>
          <t>Recruiter</t>
        </is>
      </c>
      <c r="K153" s="5" t="inlineStr">
        <is>
          <t>Automated - UI</t>
        </is>
      </c>
      <c r="L153" s="5" t="inlineStr">
        <is>
          <t>MS Graph mail (delivery check only)</t>
        </is>
      </c>
      <c r="M153" s="5" t="inlineStr">
        <is>
          <t>MRF.jsx</t>
        </is>
      </c>
      <c r="N153" s="5" t="inlineStr">
        <is>
          <t>New</t>
        </is>
      </c>
      <c r="O153" s="5" t="inlineStr">
        <is>
          <t>Not Run</t>
        </is>
      </c>
      <c r="P153" s="5" t="inlineStr"/>
      <c r="Q153" s="5" t="inlineStr"/>
    </row>
    <row r="154">
      <c r="A154" s="5" t="inlineStr">
        <is>
          <t>MRF-02</t>
        </is>
      </c>
      <c r="B154" s="5" t="inlineStr">
        <is>
          <t>MRF</t>
        </is>
      </c>
      <c r="C154" s="5" t="inlineStr">
        <is>
          <t>New MRF Request</t>
        </is>
      </c>
      <c r="D154" s="5" t="inlineStr">
        <is>
          <t>Mandatory fields</t>
        </is>
      </c>
      <c r="E154" s="5" t="inlineStr"/>
      <c r="F154" s="5" t="inlineStr">
        <is>
          <t>1. Click 'Submit Request' with an empty form</t>
        </is>
      </c>
      <c r="G154" s="5" t="inlineStr">
        <is>
          <t>'Required' under First Name, Last Name, Email, Role, JD Link, Budget Min, Budget Max; nothing submitted</t>
        </is>
      </c>
      <c r="H154" s="5" t="inlineStr">
        <is>
          <t>Negative</t>
        </is>
      </c>
      <c r="I154" s="5" t="inlineStr">
        <is>
          <t>P1</t>
        </is>
      </c>
      <c r="J154" s="5" t="inlineStr">
        <is>
          <t>Recruiter</t>
        </is>
      </c>
      <c r="K154" s="5" t="inlineStr">
        <is>
          <t>Automated - UI</t>
        </is>
      </c>
      <c r="L154" s="5" t="inlineStr"/>
      <c r="M154" s="5" t="inlineStr">
        <is>
          <t>MRF.jsx</t>
        </is>
      </c>
      <c r="N154" s="5" t="inlineStr">
        <is>
          <t>New</t>
        </is>
      </c>
      <c r="O154" s="5" t="inlineStr">
        <is>
          <t>Not Run</t>
        </is>
      </c>
      <c r="P154" s="5" t="inlineStr"/>
      <c r="Q154" s="5" t="inlineStr"/>
    </row>
    <row r="155">
      <c r="A155" s="5" t="inlineStr">
        <is>
          <t>MRF-03</t>
        </is>
      </c>
      <c r="B155" s="5" t="inlineStr">
        <is>
          <t>MRF</t>
        </is>
      </c>
      <c r="C155" s="5" t="inlineStr">
        <is>
          <t>New MRF Request</t>
        </is>
      </c>
      <c r="D155" s="5" t="inlineStr">
        <is>
          <t>Invalid hiring manager email</t>
        </is>
      </c>
      <c r="E155" s="5" t="inlineStr"/>
      <c r="F155" s="5" t="inlineStr">
        <is>
          <t>1. Enter Email = 'abc@'
2. Submit</t>
        </is>
      </c>
      <c r="G155" s="5" t="inlineStr">
        <is>
          <t>'Please enter a valid Email'</t>
        </is>
      </c>
      <c r="H155" s="5" t="inlineStr">
        <is>
          <t>Negative</t>
        </is>
      </c>
      <c r="I155" s="5" t="inlineStr">
        <is>
          <t>P2</t>
        </is>
      </c>
      <c r="J155" s="5" t="inlineStr">
        <is>
          <t>Recruiter</t>
        </is>
      </c>
      <c r="K155" s="5" t="inlineStr">
        <is>
          <t>Automated - UI</t>
        </is>
      </c>
      <c r="L155" s="5" t="inlineStr"/>
      <c r="M155" s="5" t="inlineStr">
        <is>
          <t>MRF.jsx</t>
        </is>
      </c>
      <c r="N155" s="5" t="inlineStr">
        <is>
          <t>New</t>
        </is>
      </c>
      <c r="O155" s="5" t="inlineStr">
        <is>
          <t>Not Run</t>
        </is>
      </c>
      <c r="P155" s="5" t="inlineStr"/>
      <c r="Q155" s="5" t="inlineStr"/>
    </row>
    <row r="156">
      <c r="A156" s="5" t="inlineStr">
        <is>
          <t>MRF-04</t>
        </is>
      </c>
      <c r="B156" s="5" t="inlineStr">
        <is>
          <t>MRF</t>
        </is>
      </c>
      <c r="C156" s="5" t="inlineStr">
        <is>
          <t>New MRF Request</t>
        </is>
      </c>
      <c r="D156" s="5" t="inlineStr">
        <is>
          <t>CC email ends with comma/semicolon</t>
        </is>
      </c>
      <c r="E156" s="5" t="inlineStr"/>
      <c r="F156" s="5" t="inlineStr">
        <is>
          <t>1. CC Email = 'a@x.com,'
2. Submit</t>
        </is>
      </c>
      <c r="G156" s="5" t="inlineStr">
        <is>
          <t>'CC Email should not end with comma or semicolon'</t>
        </is>
      </c>
      <c r="H156" s="5" t="inlineStr">
        <is>
          <t>Negative</t>
        </is>
      </c>
      <c r="I156" s="5" t="inlineStr">
        <is>
          <t>P2</t>
        </is>
      </c>
      <c r="J156" s="5" t="inlineStr">
        <is>
          <t>Recruiter</t>
        </is>
      </c>
      <c r="K156" s="5" t="inlineStr">
        <is>
          <t>Automated - UI</t>
        </is>
      </c>
      <c r="L156" s="5" t="inlineStr"/>
      <c r="M156" s="5" t="inlineStr">
        <is>
          <t>MRF.jsx validateCcEmail</t>
        </is>
      </c>
      <c r="N156" s="5" t="inlineStr">
        <is>
          <t>New</t>
        </is>
      </c>
      <c r="O156" s="5" t="inlineStr">
        <is>
          <t>Not Run</t>
        </is>
      </c>
      <c r="P156" s="5" t="inlineStr"/>
      <c r="Q156" s="5" t="inlineStr"/>
    </row>
    <row r="157">
      <c r="A157" s="5" t="inlineStr">
        <is>
          <t>MRF-05</t>
        </is>
      </c>
      <c r="B157" s="5" t="inlineStr">
        <is>
          <t>MRF</t>
        </is>
      </c>
      <c r="C157" s="5" t="inlineStr">
        <is>
          <t>New MRF Request</t>
        </is>
      </c>
      <c r="D157" s="5" t="inlineStr">
        <is>
          <t>Invalid CC email in list</t>
        </is>
      </c>
      <c r="E157" s="5" t="inlineStr"/>
      <c r="F157" s="5" t="inlineStr">
        <is>
          <t>1. CC Email = 'a@x.com, notanemail'
2. Submit</t>
        </is>
      </c>
      <c r="G157" s="5" t="inlineStr">
        <is>
          <t>'Please enter a valid CC email address'</t>
        </is>
      </c>
      <c r="H157" s="5" t="inlineStr">
        <is>
          <t>Negative</t>
        </is>
      </c>
      <c r="I157" s="5" t="inlineStr">
        <is>
          <t>P2</t>
        </is>
      </c>
      <c r="J157" s="5" t="inlineStr">
        <is>
          <t>Recruiter</t>
        </is>
      </c>
      <c r="K157" s="5" t="inlineStr">
        <is>
          <t>Automated - UI</t>
        </is>
      </c>
      <c r="L157" s="5" t="inlineStr"/>
      <c r="M157" s="5" t="inlineStr">
        <is>
          <t>MRF.jsx validateCcEmail</t>
        </is>
      </c>
      <c r="N157" s="5" t="inlineStr">
        <is>
          <t>New</t>
        </is>
      </c>
      <c r="O157" s="5" t="inlineStr">
        <is>
          <t>Not Run</t>
        </is>
      </c>
      <c r="P157" s="5" t="inlineStr"/>
      <c r="Q157" s="5" t="inlineStr"/>
    </row>
    <row r="158">
      <c r="A158" s="5" t="inlineStr">
        <is>
          <t>MRF-06</t>
        </is>
      </c>
      <c r="B158" s="5" t="inlineStr">
        <is>
          <t>MRF</t>
        </is>
      </c>
      <c r="C158" s="5" t="inlineStr">
        <is>
          <t>New MRF Request</t>
        </is>
      </c>
      <c r="D158" s="5" t="inlineStr">
        <is>
          <t>Budget Min below 10,000</t>
        </is>
      </c>
      <c r="E158" s="5" t="inlineStr"/>
      <c r="F158" s="5" t="inlineStr">
        <is>
          <t>1. Budget Min = 5000, Budget Max = 100000
2. Submit</t>
        </is>
      </c>
      <c r="G158" s="5" t="inlineStr">
        <is>
          <t>'Budget Min should be at least 10,000.'</t>
        </is>
      </c>
      <c r="H158" s="5" t="inlineStr">
        <is>
          <t>Negative</t>
        </is>
      </c>
      <c r="I158" s="5" t="inlineStr">
        <is>
          <t>P2</t>
        </is>
      </c>
      <c r="J158" s="5" t="inlineStr">
        <is>
          <t>Recruiter</t>
        </is>
      </c>
      <c r="K158" s="5" t="inlineStr">
        <is>
          <t>Automated - UI</t>
        </is>
      </c>
      <c r="L158" s="5" t="inlineStr"/>
      <c r="M158" s="5" t="inlineStr">
        <is>
          <t>MRF.jsx</t>
        </is>
      </c>
      <c r="N158" s="5" t="inlineStr">
        <is>
          <t>New</t>
        </is>
      </c>
      <c r="O158" s="5" t="inlineStr">
        <is>
          <t>Not Run</t>
        </is>
      </c>
      <c r="P158" s="5" t="inlineStr"/>
      <c r="Q158" s="5" t="inlineStr"/>
    </row>
    <row r="159">
      <c r="A159" s="5" t="inlineStr">
        <is>
          <t>MRF-07</t>
        </is>
      </c>
      <c r="B159" s="5" t="inlineStr">
        <is>
          <t>MRF</t>
        </is>
      </c>
      <c r="C159" s="5" t="inlineStr">
        <is>
          <t>New MRF Request</t>
        </is>
      </c>
      <c r="D159" s="5" t="inlineStr">
        <is>
          <t>Budget Max not greater than Min</t>
        </is>
      </c>
      <c r="E159" s="5" t="inlineStr"/>
      <c r="F159" s="5" t="inlineStr">
        <is>
          <t>1. Budget Min = 500000, Budget Max = 500000
2. Submit</t>
        </is>
      </c>
      <c r="G159" s="5" t="inlineStr">
        <is>
          <t>'Budget Max must be greater than Budget Min.'</t>
        </is>
      </c>
      <c r="H159" s="5" t="inlineStr">
        <is>
          <t>Negative</t>
        </is>
      </c>
      <c r="I159" s="5" t="inlineStr">
        <is>
          <t>P2</t>
        </is>
      </c>
      <c r="J159" s="5" t="inlineStr">
        <is>
          <t>Recruiter</t>
        </is>
      </c>
      <c r="K159" s="5" t="inlineStr">
        <is>
          <t>Automated - UI</t>
        </is>
      </c>
      <c r="L159" s="5" t="inlineStr"/>
      <c r="M159" s="5" t="inlineStr">
        <is>
          <t>MRF.jsx</t>
        </is>
      </c>
      <c r="N159" s="5" t="inlineStr">
        <is>
          <t>New</t>
        </is>
      </c>
      <c r="O159" s="5" t="inlineStr">
        <is>
          <t>Not Run</t>
        </is>
      </c>
      <c r="P159" s="5" t="inlineStr"/>
      <c r="Q159" s="5" t="inlineStr"/>
    </row>
    <row r="160">
      <c r="A160" s="5" t="inlineStr">
        <is>
          <t>MRF-08</t>
        </is>
      </c>
      <c r="B160" s="5" t="inlineStr">
        <is>
          <t>MRF</t>
        </is>
      </c>
      <c r="C160" s="5" t="inlineStr">
        <is>
          <t>New MRF Request</t>
        </is>
      </c>
      <c r="D160" s="5" t="inlineStr">
        <is>
          <t>Clear button resets the form</t>
        </is>
      </c>
      <c r="E160" s="5" t="inlineStr">
        <is>
          <t>Form partly filled</t>
        </is>
      </c>
      <c r="F160" s="5" t="inlineStr">
        <is>
          <t>1. Click 'Clear'</t>
        </is>
      </c>
      <c r="G160" s="5" t="inlineStr">
        <is>
          <t>All fields emptied; no request created</t>
        </is>
      </c>
      <c r="H160" s="5" t="inlineStr">
        <is>
          <t>Positive</t>
        </is>
      </c>
      <c r="I160" s="5" t="inlineStr">
        <is>
          <t>P3</t>
        </is>
      </c>
      <c r="J160" s="5" t="inlineStr">
        <is>
          <t>Recruiter</t>
        </is>
      </c>
      <c r="K160" s="5" t="inlineStr">
        <is>
          <t>Automated - UI</t>
        </is>
      </c>
      <c r="L160" s="5" t="inlineStr"/>
      <c r="M160" s="5" t="inlineStr">
        <is>
          <t>MRF.jsx</t>
        </is>
      </c>
      <c r="N160" s="5" t="inlineStr">
        <is>
          <t>New</t>
        </is>
      </c>
      <c r="O160" s="5" t="inlineStr">
        <is>
          <t>Not Run</t>
        </is>
      </c>
      <c r="P160" s="5" t="inlineStr"/>
      <c r="Q160" s="5" t="inlineStr"/>
    </row>
    <row r="161">
      <c r="A161" s="5" t="inlineStr">
        <is>
          <t>MRF-09</t>
        </is>
      </c>
      <c r="B161" s="5" t="inlineStr">
        <is>
          <t>MRF</t>
        </is>
      </c>
      <c r="C161" s="5" t="inlineStr">
        <is>
          <t>Records</t>
        </is>
      </c>
      <c r="D161" s="5" t="inlineStr">
        <is>
          <t>Search records</t>
        </is>
      </c>
      <c r="E161" s="5" t="inlineStr">
        <is>
          <t>Several MRF requests</t>
        </is>
      </c>
      <c r="F161" s="5" t="inlineStr">
        <is>
          <t>1. Type a role name in 'Search records...'</t>
        </is>
      </c>
      <c r="G161" s="5" t="inlineStr">
        <is>
          <t>Table narrows to matching rows; clearing restores all</t>
        </is>
      </c>
      <c r="H161" s="5" t="inlineStr">
        <is>
          <t>Positive</t>
        </is>
      </c>
      <c r="I161" s="5" t="inlineStr">
        <is>
          <t>P2</t>
        </is>
      </c>
      <c r="J161" s="5" t="inlineStr">
        <is>
          <t>Recruiter</t>
        </is>
      </c>
      <c r="K161" s="5" t="inlineStr">
        <is>
          <t>Automated - UI</t>
        </is>
      </c>
      <c r="L161" s="5" t="inlineStr"/>
      <c r="M161" s="5" t="inlineStr">
        <is>
          <t>MRF.jsx</t>
        </is>
      </c>
      <c r="N161" s="5" t="inlineStr">
        <is>
          <t>New</t>
        </is>
      </c>
      <c r="O161" s="5" t="inlineStr">
        <is>
          <t>Not Run</t>
        </is>
      </c>
      <c r="P161" s="5" t="inlineStr"/>
      <c r="Q161" s="5" t="inlineStr"/>
    </row>
    <row r="162">
      <c r="A162" s="5" t="inlineStr">
        <is>
          <t>MRF-10</t>
        </is>
      </c>
      <c r="B162" s="5" t="inlineStr">
        <is>
          <t>MRF</t>
        </is>
      </c>
      <c r="C162" s="5" t="inlineStr">
        <is>
          <t>Records</t>
        </is>
      </c>
      <c r="D162" s="5" t="inlineStr">
        <is>
          <t>Status filter tabs</t>
        </is>
      </c>
      <c r="E162" s="5" t="inlineStr">
        <is>
          <t>Requests in Pending, Manager Submitted and Closed states</t>
        </is>
      </c>
      <c r="F162" s="5" t="inlineStr">
        <is>
          <t>1. Click All / Pending / Manager Submitted / Closed</t>
        </is>
      </c>
      <c r="G162" s="5" t="inlineStr">
        <is>
          <t>Each tab shows only rows in that state</t>
        </is>
      </c>
      <c r="H162" s="5" t="inlineStr">
        <is>
          <t>Positive</t>
        </is>
      </c>
      <c r="I162" s="5" t="inlineStr">
        <is>
          <t>P2</t>
        </is>
      </c>
      <c r="J162" s="5" t="inlineStr">
        <is>
          <t>Recruiter</t>
        </is>
      </c>
      <c r="K162" s="5" t="inlineStr">
        <is>
          <t>Automated - UI</t>
        </is>
      </c>
      <c r="L162" s="5" t="inlineStr"/>
      <c r="M162" s="5" t="inlineStr">
        <is>
          <t>MRF.jsx</t>
        </is>
      </c>
      <c r="N162" s="5" t="inlineStr">
        <is>
          <t>New</t>
        </is>
      </c>
      <c r="O162" s="5" t="inlineStr">
        <is>
          <t>Not Run</t>
        </is>
      </c>
      <c r="P162" s="5" t="inlineStr"/>
      <c r="Q162" s="5" t="inlineStr"/>
    </row>
    <row r="163">
      <c r="A163" s="5" t="inlineStr">
        <is>
          <t>MRF-11</t>
        </is>
      </c>
      <c r="B163" s="5" t="inlineStr">
        <is>
          <t>MRF</t>
        </is>
      </c>
      <c r="C163" s="5" t="inlineStr">
        <is>
          <t>Details</t>
        </is>
      </c>
      <c r="D163" s="5" t="inlineStr">
        <is>
          <t>Open MRF details</t>
        </is>
      </c>
      <c r="E163" s="5" t="inlineStr">
        <is>
          <t>A submitted MRF</t>
        </is>
      </c>
      <c r="F163" s="5" t="inlineStr">
        <is>
          <t>1. Click a row</t>
        </is>
      </c>
      <c r="G163" s="5" t="inlineStr">
        <is>
          <t>Modal shows the request, MRF Raise Status, MRF Approval Status, the Submitted MRF Details (with AI-parsed JD summary when available) and the Approval trail; all fields read-only</t>
        </is>
      </c>
      <c r="H163" s="5" t="inlineStr">
        <is>
          <t>Positive</t>
        </is>
      </c>
      <c r="I163" s="5" t="inlineStr">
        <is>
          <t>P2</t>
        </is>
      </c>
      <c r="J163" s="5" t="inlineStr">
        <is>
          <t>Recruiter</t>
        </is>
      </c>
      <c r="K163" s="5" t="inlineStr">
        <is>
          <t>Automated - UI</t>
        </is>
      </c>
      <c r="L163" s="5" t="inlineStr"/>
      <c r="M163" s="5" t="inlineStr">
        <is>
          <t>MRF.jsx</t>
        </is>
      </c>
      <c r="N163" s="5" t="inlineStr">
        <is>
          <t>New</t>
        </is>
      </c>
      <c r="O163" s="5" t="inlineStr">
        <is>
          <t>Not Run</t>
        </is>
      </c>
      <c r="P163" s="5" t="inlineStr"/>
      <c r="Q163" s="5" t="inlineStr"/>
    </row>
    <row r="164">
      <c r="A164" s="5" t="inlineStr">
        <is>
          <t>MRF-12</t>
        </is>
      </c>
      <c r="B164" s="5" t="inlineStr">
        <is>
          <t>MRF</t>
        </is>
      </c>
      <c r="C164" s="5" t="inlineStr">
        <is>
          <t>Details</t>
        </is>
      </c>
      <c r="D164" s="5" t="inlineStr">
        <is>
          <t>Edit and save MRF details</t>
        </is>
      </c>
      <c r="E164" s="5" t="inlineStr">
        <is>
          <t>Details modal open</t>
        </is>
      </c>
      <c r="F164" s="5" t="inlineStr">
        <is>
          <t>1. Click Edit
2. Change Role and Budget Max
3. Save</t>
        </is>
      </c>
      <c r="G164" s="5" t="inlineStr">
        <is>
          <t>'MRF details updated successfully.'; MRF Raise Status select stays disabled (status is never changed by an edit)</t>
        </is>
      </c>
      <c r="H164" s="5" t="inlineStr">
        <is>
          <t>Positive</t>
        </is>
      </c>
      <c r="I164" s="5" t="inlineStr">
        <is>
          <t>P2</t>
        </is>
      </c>
      <c r="J164" s="5" t="inlineStr">
        <is>
          <t>Recruiter</t>
        </is>
      </c>
      <c r="K164" s="5" t="inlineStr">
        <is>
          <t>Automated - UI</t>
        </is>
      </c>
      <c r="L164" s="5" t="inlineStr"/>
      <c r="M164" s="5" t="inlineStr">
        <is>
          <t>MRF.jsx handleSaveAll</t>
        </is>
      </c>
      <c r="N164" s="5" t="inlineStr">
        <is>
          <t>New</t>
        </is>
      </c>
      <c r="O164" s="5" t="inlineStr">
        <is>
          <t>Not Run</t>
        </is>
      </c>
      <c r="P164" s="5" t="inlineStr"/>
      <c r="Q164" s="5" t="inlineStr"/>
    </row>
    <row r="165">
      <c r="A165" s="5" t="inlineStr">
        <is>
          <t>MRF-13</t>
        </is>
      </c>
      <c r="B165" s="5" t="inlineStr">
        <is>
          <t>MRF</t>
        </is>
      </c>
      <c r="C165" s="5" t="inlineStr">
        <is>
          <t>Details</t>
        </is>
      </c>
      <c r="D165" s="5" t="inlineStr">
        <is>
          <t>Cancel edit discards changes</t>
        </is>
      </c>
      <c r="E165" s="5" t="inlineStr">
        <is>
          <t>Edit mode</t>
        </is>
      </c>
      <c r="F165" s="5" t="inlineStr">
        <is>
          <t>1. Change a field
2. Click Cancel</t>
        </is>
      </c>
      <c r="G165" s="5" t="inlineStr">
        <is>
          <t>Original values restored; nothing saved</t>
        </is>
      </c>
      <c r="H165" s="5" t="inlineStr">
        <is>
          <t>Positive</t>
        </is>
      </c>
      <c r="I165" s="5" t="inlineStr">
        <is>
          <t>P3</t>
        </is>
      </c>
      <c r="J165" s="5" t="inlineStr">
        <is>
          <t>Recruiter</t>
        </is>
      </c>
      <c r="K165" s="5" t="inlineStr">
        <is>
          <t>Automated - UI</t>
        </is>
      </c>
      <c r="L165" s="5" t="inlineStr"/>
      <c r="M165" s="5" t="inlineStr">
        <is>
          <t>MRF.jsx</t>
        </is>
      </c>
      <c r="N165" s="5" t="inlineStr">
        <is>
          <t>New</t>
        </is>
      </c>
      <c r="O165" s="5" t="inlineStr">
        <is>
          <t>Not Run</t>
        </is>
      </c>
      <c r="P165" s="5" t="inlineStr"/>
      <c r="Q165" s="5" t="inlineStr"/>
    </row>
    <row r="166">
      <c r="A166" s="5" t="inlineStr">
        <is>
          <t>MRF-14</t>
        </is>
      </c>
      <c r="B166" s="5" t="inlineStr">
        <is>
          <t>MRF</t>
        </is>
      </c>
      <c r="C166" s="5" t="inlineStr">
        <is>
          <t>Export</t>
        </is>
      </c>
      <c r="D166" s="5" t="inlineStr">
        <is>
          <t>Export MRF list CSV</t>
        </is>
      </c>
      <c r="E166" s="5" t="inlineStr"/>
      <c r="F166" s="5" t="inlineStr">
        <is>
          <t>1. Click Export on Records (with a search/status filter applied)</t>
        </is>
      </c>
      <c r="G166" s="5" t="inlineStr">
        <is>
          <t>AAPNA-ATS_MRF-Requests.csv downloads containing only the filtered rows</t>
        </is>
      </c>
      <c r="H166" s="5" t="inlineStr">
        <is>
          <t>Positive</t>
        </is>
      </c>
      <c r="I166" s="5" t="inlineStr">
        <is>
          <t>P2</t>
        </is>
      </c>
      <c r="J166" s="5" t="inlineStr">
        <is>
          <t>Recruiter</t>
        </is>
      </c>
      <c r="K166" s="5" t="inlineStr">
        <is>
          <t>Automated - UI</t>
        </is>
      </c>
      <c r="L166" s="5" t="inlineStr"/>
      <c r="M166" s="5" t="inlineStr">
        <is>
          <t>mrf.routes.js export</t>
        </is>
      </c>
      <c r="N166" s="5" t="inlineStr">
        <is>
          <t>New</t>
        </is>
      </c>
      <c r="O166" s="5" t="inlineStr">
        <is>
          <t>Not Run</t>
        </is>
      </c>
      <c r="P166" s="5" t="inlineStr"/>
      <c r="Q166" s="5" t="inlineStr"/>
    </row>
    <row r="167">
      <c r="A167" s="5" t="inlineStr">
        <is>
          <t>MRF-15</t>
        </is>
      </c>
      <c r="B167" s="5" t="inlineStr">
        <is>
          <t>MRF</t>
        </is>
      </c>
      <c r="C167" s="5" t="inlineStr">
        <is>
          <t>Export</t>
        </is>
      </c>
      <c r="D167" s="5" t="inlineStr">
        <is>
          <t>Approval audit export is admin-only</t>
        </is>
      </c>
      <c r="E167" s="5" t="inlineStr"/>
      <c r="F167" s="5" t="inlineStr">
        <is>
          <t>1. As Admin: check for 'Approval audit' button and download
2. As Recruiter: check the button
3. (API) GET /api/mrf/approval-audit/export with recruiter token</t>
        </is>
      </c>
      <c r="G167" s="5" t="inlineStr">
        <is>
          <t>Admin downloads AAPNA-ATS_MRF-Approval-Audit_90d.csv; recruiter sees no button; API returns 403</t>
        </is>
      </c>
      <c r="H167" s="5" t="inlineStr">
        <is>
          <t>Security</t>
        </is>
      </c>
      <c r="I167" s="5" t="inlineStr">
        <is>
          <t>P2</t>
        </is>
      </c>
      <c r="J167" s="5" t="inlineStr">
        <is>
          <t>Admin / Recruiter</t>
        </is>
      </c>
      <c r="K167" s="5" t="inlineStr">
        <is>
          <t>Automated - UI</t>
        </is>
      </c>
      <c r="L167" s="5" t="inlineStr"/>
      <c r="M167" s="5" t="inlineStr">
        <is>
          <t>mrf.routes.js</t>
        </is>
      </c>
      <c r="N167" s="5" t="inlineStr">
        <is>
          <t>New</t>
        </is>
      </c>
      <c r="O167" s="5" t="inlineStr">
        <is>
          <t>Not Run</t>
        </is>
      </c>
      <c r="P167" s="5" t="inlineStr"/>
      <c r="Q167" s="5" t="inlineStr"/>
    </row>
    <row r="168">
      <c r="A168" s="5" t="inlineStr">
        <is>
          <t>MRF-16</t>
        </is>
      </c>
      <c r="B168" s="5" t="inlineStr">
        <is>
          <t>MRF</t>
        </is>
      </c>
      <c r="C168" s="5" t="inlineStr">
        <is>
          <t>Hiring manager form</t>
        </is>
      </c>
      <c r="D168" s="5" t="inlineStr">
        <is>
          <t>Hiring manager submits the full MRF</t>
        </is>
      </c>
      <c r="E168" s="5" t="inlineStr">
        <is>
          <t>Link /mrf-submit?role=...&amp;emailid=...&amp;id=&lt;request id&gt;</t>
        </is>
      </c>
      <c r="F168" s="5" t="inlineStr">
        <is>
          <t>1. Open the link (no login)
2. Fill all required fields; attach JD and Online Test Paper
3. Submit</t>
        </is>
      </c>
      <c r="G168" s="5" t="inlineStr">
        <is>
          <t>'MRF Submitted Successfully!'; request shows MANAGER SUBMITTED; approval emails go to approvers</t>
        </is>
      </c>
      <c r="H168" s="5" t="inlineStr">
        <is>
          <t>Positive</t>
        </is>
      </c>
      <c r="I168" s="5" t="inlineStr">
        <is>
          <t>P1</t>
        </is>
      </c>
      <c r="J168" s="5" t="inlineStr">
        <is>
          <t>Hiring Manager (public)</t>
        </is>
      </c>
      <c r="K168" s="5" t="inlineStr">
        <is>
          <t>Manual - External</t>
        </is>
      </c>
      <c r="L168" s="5" t="inlineStr">
        <is>
          <t>AI JD parsing; MS Graph mail (delivery check only)</t>
        </is>
      </c>
      <c r="M168" s="5" t="inlineStr">
        <is>
          <t>MrfSubmit.jsx</t>
        </is>
      </c>
      <c r="N168" s="5" t="inlineStr">
        <is>
          <t>New</t>
        </is>
      </c>
      <c r="O168" s="5" t="inlineStr">
        <is>
          <t>Not Run</t>
        </is>
      </c>
      <c r="P168" s="5" t="inlineStr"/>
      <c r="Q168" s="5" t="inlineStr"/>
    </row>
    <row r="169">
      <c r="A169" s="5" t="inlineStr">
        <is>
          <t>MRF-17</t>
        </is>
      </c>
      <c r="B169" s="5" t="inlineStr">
        <is>
          <t>MRF</t>
        </is>
      </c>
      <c r="C169" s="5" t="inlineStr">
        <is>
          <t>Hiring manager form</t>
        </is>
      </c>
      <c r="D169" s="5" t="inlineStr">
        <is>
          <t>Required fields on the public form</t>
        </is>
      </c>
      <c r="E169" s="5" t="inlineStr"/>
      <c r="F169" s="5" t="inlineStr">
        <is>
          <t>1. Open /mrf-submit
2. Submit with required fields empty</t>
        </is>
      </c>
      <c r="G169" s="5" t="inlineStr">
        <is>
          <t>'This field is required.' on each required field; email fields show 'Please enter a valid email address.'</t>
        </is>
      </c>
      <c r="H169" s="5" t="inlineStr">
        <is>
          <t>Negative</t>
        </is>
      </c>
      <c r="I169" s="5" t="inlineStr">
        <is>
          <t>P2</t>
        </is>
      </c>
      <c r="J169" s="5" t="inlineStr">
        <is>
          <t>Hiring Manager (public)</t>
        </is>
      </c>
      <c r="K169" s="5" t="inlineStr">
        <is>
          <t>Automated - UI</t>
        </is>
      </c>
      <c r="L169" s="5" t="inlineStr"/>
      <c r="M169" s="5" t="inlineStr">
        <is>
          <t>MrfSubmit.jsx</t>
        </is>
      </c>
      <c r="N169" s="5" t="inlineStr">
        <is>
          <t>New</t>
        </is>
      </c>
      <c r="O169" s="5" t="inlineStr">
        <is>
          <t>Not Run</t>
        </is>
      </c>
      <c r="P169" s="5" t="inlineStr"/>
      <c r="Q169" s="5" t="inlineStr"/>
    </row>
    <row r="170">
      <c r="A170" s="5" t="inlineStr">
        <is>
          <t>MRF-18</t>
        </is>
      </c>
      <c r="B170" s="5" t="inlineStr">
        <is>
          <t>MRF</t>
        </is>
      </c>
      <c r="C170" s="5" t="inlineStr">
        <is>
          <t>Hiring manager form</t>
        </is>
      </c>
      <c r="D170" s="5" t="inlineStr">
        <is>
          <t>Conditional 'Other' fields</t>
        </is>
      </c>
      <c r="E170" s="5" t="inlineStr"/>
      <c r="F170" s="5" t="inlineStr">
        <is>
          <t>1. Set 'Requirement for the team' = Other
2. Set 'Desired Qualification' = PG
3. Set 'Replacement or New Role' = Replacement</t>
        </is>
      </c>
      <c r="G170" s="5" t="inlineStr">
        <is>
          <t>Matching follow-up fields appear and become required; they disappear when the trigger changes</t>
        </is>
      </c>
      <c r="H170" s="5" t="inlineStr">
        <is>
          <t>Positive</t>
        </is>
      </c>
      <c r="I170" s="5" t="inlineStr">
        <is>
          <t>P2</t>
        </is>
      </c>
      <c r="J170" s="5" t="inlineStr">
        <is>
          <t>Hiring Manager (public)</t>
        </is>
      </c>
      <c r="K170" s="5" t="inlineStr">
        <is>
          <t>Automated - UI</t>
        </is>
      </c>
      <c r="L170" s="5" t="inlineStr"/>
      <c r="M170" s="5" t="inlineStr">
        <is>
          <t>MrfSubmit.jsx</t>
        </is>
      </c>
      <c r="N170" s="5" t="inlineStr">
        <is>
          <t>New</t>
        </is>
      </c>
      <c r="O170" s="5" t="inlineStr">
        <is>
          <t>Not Run</t>
        </is>
      </c>
      <c r="P170" s="5" t="inlineStr"/>
      <c r="Q170" s="5" t="inlineStr"/>
    </row>
    <row r="171">
      <c r="A171" s="5" t="inlineStr">
        <is>
          <t>MRF-19</t>
        </is>
      </c>
      <c r="B171" s="5" t="inlineStr">
        <is>
          <t>MRF</t>
        </is>
      </c>
      <c r="C171" s="5" t="inlineStr">
        <is>
          <t>Hiring manager form</t>
        </is>
      </c>
      <c r="D171" s="5" t="inlineStr">
        <is>
          <t>JD attachment of a disallowed type</t>
        </is>
      </c>
      <c r="E171" s="5" t="inlineStr"/>
      <c r="F171" s="5" t="inlineStr">
        <is>
          <t>1. Attach an .exe as the JD
2. Submit</t>
        </is>
      </c>
      <c r="G171" s="5" t="inlineStr">
        <is>
          <t>Upload rejected with a file-type error (4xx, not a 500)</t>
        </is>
      </c>
      <c r="H171" s="5" t="inlineStr">
        <is>
          <t>Security</t>
        </is>
      </c>
      <c r="I171" s="5" t="inlineStr">
        <is>
          <t>P2</t>
        </is>
      </c>
      <c r="J171" s="5" t="inlineStr">
        <is>
          <t>Hiring Manager (public)</t>
        </is>
      </c>
      <c r="K171" s="5" t="inlineStr">
        <is>
          <t>Automated - UI</t>
        </is>
      </c>
      <c r="L171" s="5" t="inlineStr"/>
      <c r="M171" s="5" t="inlineStr">
        <is>
          <t>mrf.routes.js fileFilter</t>
        </is>
      </c>
      <c r="N171" s="5" t="inlineStr">
        <is>
          <t>New</t>
        </is>
      </c>
      <c r="O171" s="5" t="inlineStr">
        <is>
          <t>Not Run</t>
        </is>
      </c>
      <c r="P171" s="5" t="inlineStr"/>
      <c r="Q171" s="5" t="inlineStr"/>
    </row>
    <row r="172">
      <c r="A172" s="5" t="inlineStr">
        <is>
          <t>MRF-20</t>
        </is>
      </c>
      <c r="B172" s="5" t="inlineStr">
        <is>
          <t>MRF</t>
        </is>
      </c>
      <c r="C172" s="5" t="inlineStr">
        <is>
          <t>Approval</t>
        </is>
      </c>
      <c r="D172" s="5" t="inlineStr">
        <is>
          <t>Approver approves via personal link</t>
        </is>
      </c>
      <c r="E172" s="5" t="inlineStr">
        <is>
          <t>MRF in pending-approval; approval token for approver A (fixture mints it)</t>
        </is>
      </c>
      <c r="F172" s="5" t="inlineStr">
        <is>
          <t>1. Open /mrf/&lt;id&gt;/approve?token=...&amp;action=approve
2. Review the Requisition Summary
3. Add a comment and Approve</t>
        </is>
      </c>
      <c r="G172" s="5" t="inlineStr">
        <is>
          <t>'Requisition Request Approved!'; approval_status = approved; decided_by = approver A; approval trail shows 'Decided'; other approvers' links are closed</t>
        </is>
      </c>
      <c r="H172" s="5" t="inlineStr">
        <is>
          <t>Positive</t>
        </is>
      </c>
      <c r="I172" s="5" t="inlineStr">
        <is>
          <t>P1</t>
        </is>
      </c>
      <c r="J172" s="5" t="inlineStr">
        <is>
          <t>Approver (public)</t>
        </is>
      </c>
      <c r="K172" s="5" t="inlineStr">
        <is>
          <t>Automated - UI (fixture)</t>
        </is>
      </c>
      <c r="L172" s="5" t="inlineStr">
        <is>
          <t>MS Graph mail (delivery check only)</t>
        </is>
      </c>
      <c r="M172" s="5" t="inlineStr">
        <is>
          <t>mrfApproval.service.js</t>
        </is>
      </c>
      <c r="N172" s="5" t="inlineStr">
        <is>
          <t>New</t>
        </is>
      </c>
      <c r="O172" s="5" t="inlineStr">
        <is>
          <t>Not Run</t>
        </is>
      </c>
      <c r="P172" s="5" t="inlineStr"/>
      <c r="Q172" s="5" t="inlineStr"/>
    </row>
    <row r="173">
      <c r="A173" s="5" t="inlineStr">
        <is>
          <t>MRF-21</t>
        </is>
      </c>
      <c r="B173" s="5" t="inlineStr">
        <is>
          <t>MRF</t>
        </is>
      </c>
      <c r="C173" s="5" t="inlineStr">
        <is>
          <t>Approval</t>
        </is>
      </c>
      <c r="D173" s="5" t="inlineStr">
        <is>
          <t>Approver rejects via personal link</t>
        </is>
      </c>
      <c r="E173" s="5" t="inlineStr">
        <is>
          <t>Fresh pending MRF; token for approver A</t>
        </is>
      </c>
      <c r="F173" s="5" t="inlineStr">
        <is>
          <t>1. Open the link with action=reject
2. Add a comment and Reject</t>
        </is>
      </c>
      <c r="G173" s="5" t="inlineStr">
        <is>
          <t>'Requisition Request Declined!'; approval_status = rejected; comment stored</t>
        </is>
      </c>
      <c r="H173" s="5" t="inlineStr">
        <is>
          <t>Positive</t>
        </is>
      </c>
      <c r="I173" s="5" t="inlineStr">
        <is>
          <t>P1</t>
        </is>
      </c>
      <c r="J173" s="5" t="inlineStr">
        <is>
          <t>Approver (public)</t>
        </is>
      </c>
      <c r="K173" s="5" t="inlineStr">
        <is>
          <t>Automated - UI (fixture)</t>
        </is>
      </c>
      <c r="L173" s="5" t="inlineStr">
        <is>
          <t>MS Graph mail (delivery check only)</t>
        </is>
      </c>
      <c r="M173" s="5" t="inlineStr">
        <is>
          <t>MrfApprovalAction.jsx</t>
        </is>
      </c>
      <c r="N173" s="5" t="inlineStr">
        <is>
          <t>New</t>
        </is>
      </c>
      <c r="O173" s="5" t="inlineStr">
        <is>
          <t>Not Run</t>
        </is>
      </c>
      <c r="P173" s="5" t="inlineStr"/>
      <c r="Q173" s="5" t="inlineStr"/>
    </row>
    <row r="174">
      <c r="A174" s="5" t="inlineStr">
        <is>
          <t>MRF-22</t>
        </is>
      </c>
      <c r="B174" s="5" t="inlineStr">
        <is>
          <t>MRF</t>
        </is>
      </c>
      <c r="C174" s="5" t="inlineStr">
        <is>
          <t>Approval</t>
        </is>
      </c>
      <c r="D174" s="5" t="inlineStr">
        <is>
          <t>Second approver after a decision</t>
        </is>
      </c>
      <c r="E174" s="5" t="inlineStr">
        <is>
          <t>MRF decided by approver A (MRF-20)</t>
        </is>
      </c>
      <c r="F174" s="5" t="inlineStr">
        <is>
          <t>1. Approver B opens their own link</t>
        </is>
      </c>
      <c r="G174" s="5" t="inlineStr">
        <is>
          <t>Page 'Requisition already approved' with who and when (and A's comment); no second decision recorded</t>
        </is>
      </c>
      <c r="H174" s="5" t="inlineStr">
        <is>
          <t>Negative</t>
        </is>
      </c>
      <c r="I174" s="5" t="inlineStr">
        <is>
          <t>P1</t>
        </is>
      </c>
      <c r="J174" s="5" t="inlineStr">
        <is>
          <t>Approver (public)</t>
        </is>
      </c>
      <c r="K174" s="5" t="inlineStr">
        <is>
          <t>Automated - UI (fixture)</t>
        </is>
      </c>
      <c r="L174" s="5" t="inlineStr"/>
      <c r="M174" s="5" t="inlineStr">
        <is>
          <t>mrfApproval.service.js</t>
        </is>
      </c>
      <c r="N174" s="5" t="inlineStr">
        <is>
          <t>New</t>
        </is>
      </c>
      <c r="O174" s="5" t="inlineStr">
        <is>
          <t>Not Run</t>
        </is>
      </c>
      <c r="P174" s="5" t="inlineStr"/>
      <c r="Q174" s="5" t="inlineStr"/>
    </row>
    <row r="175">
      <c r="A175" s="5" t="inlineStr">
        <is>
          <t>MRF-23</t>
        </is>
      </c>
      <c r="B175" s="5" t="inlineStr">
        <is>
          <t>MRF</t>
        </is>
      </c>
      <c r="C175" s="5" t="inlineStr">
        <is>
          <t>Approval</t>
        </is>
      </c>
      <c r="D175" s="5" t="inlineStr">
        <is>
          <t>Replaced (re-issued) link</t>
        </is>
      </c>
      <c r="E175" s="5" t="inlineStr">
        <is>
          <t>Links re-issued after the first email (MRF-26)</t>
        </is>
      </c>
      <c r="F175" s="5" t="inlineStr">
        <is>
          <t>1. Open the OLD link</t>
        </is>
      </c>
      <c r="G175" s="5" t="inlineStr">
        <is>
          <t>'This link was replaced' / 'Please use the most recent approval email'; no decision recorded</t>
        </is>
      </c>
      <c r="H175" s="5" t="inlineStr">
        <is>
          <t>Negative</t>
        </is>
      </c>
      <c r="I175" s="5" t="inlineStr">
        <is>
          <t>P2</t>
        </is>
      </c>
      <c r="J175" s="5" t="inlineStr">
        <is>
          <t>Approver (public)</t>
        </is>
      </c>
      <c r="K175" s="5" t="inlineStr">
        <is>
          <t>Automated - UI (fixture)</t>
        </is>
      </c>
      <c r="L175" s="5" t="inlineStr"/>
      <c r="M175" s="5" t="inlineStr">
        <is>
          <t>MrfApprovalAction.jsx</t>
        </is>
      </c>
      <c r="N175" s="5" t="inlineStr">
        <is>
          <t>New</t>
        </is>
      </c>
      <c r="O175" s="5" t="inlineStr">
        <is>
          <t>Not Run</t>
        </is>
      </c>
      <c r="P175" s="5" t="inlineStr"/>
      <c r="Q175" s="5" t="inlineStr"/>
    </row>
    <row r="176">
      <c r="A176" s="5" t="inlineStr">
        <is>
          <t>MRF-24</t>
        </is>
      </c>
      <c r="B176" s="5" t="inlineStr">
        <is>
          <t>MRF</t>
        </is>
      </c>
      <c r="C176" s="5" t="inlineStr">
        <is>
          <t>Approval</t>
        </is>
      </c>
      <c r="D176" s="5" t="inlineStr">
        <is>
          <t>Invalid or tampered token</t>
        </is>
      </c>
      <c r="E176" s="5" t="inlineStr"/>
      <c r="F176" s="5" t="inlineStr">
        <is>
          <t>1. Open /mrf/&lt;id&gt;/approve?token=garbage</t>
        </is>
      </c>
      <c r="G176" s="5" t="inlineStr">
        <is>
          <t>'Link inactive or invalid'</t>
        </is>
      </c>
      <c r="H176" s="5" t="inlineStr">
        <is>
          <t>Security</t>
        </is>
      </c>
      <c r="I176" s="5" t="inlineStr">
        <is>
          <t>P1</t>
        </is>
      </c>
      <c r="J176" s="5" t="inlineStr">
        <is>
          <t>Approver (public)</t>
        </is>
      </c>
      <c r="K176" s="5" t="inlineStr">
        <is>
          <t>Automated - UI</t>
        </is>
      </c>
      <c r="L176" s="5" t="inlineStr"/>
      <c r="M176" s="5" t="inlineStr">
        <is>
          <t>MrfApprovalAction.jsx</t>
        </is>
      </c>
      <c r="N176" s="5" t="inlineStr">
        <is>
          <t>New</t>
        </is>
      </c>
      <c r="O176" s="5" t="inlineStr">
        <is>
          <t>Not Run</t>
        </is>
      </c>
      <c r="P176" s="5" t="inlineStr"/>
      <c r="Q176" s="5" t="inlineStr"/>
    </row>
    <row r="177">
      <c r="A177" s="5" t="inlineStr">
        <is>
          <t>MRF-25</t>
        </is>
      </c>
      <c r="B177" s="5" t="inlineStr">
        <is>
          <t>MRF</t>
        </is>
      </c>
      <c r="C177" s="5" t="inlineStr">
        <is>
          <t>Approval</t>
        </is>
      </c>
      <c r="D177" s="5" t="inlineStr">
        <is>
          <t>Comment longer than 2000 characters</t>
        </is>
      </c>
      <c r="E177" s="5" t="inlineStr">
        <is>
          <t>Valid token</t>
        </is>
      </c>
      <c r="F177" s="5" t="inlineStr">
        <is>
          <t>1. Enter a 2001-character comment and approve</t>
        </is>
      </c>
      <c r="G177" s="5" t="inlineStr">
        <is>
          <t>Rejected: 'Comments must be at most 2000 characters.'</t>
        </is>
      </c>
      <c r="H177" s="5" t="inlineStr">
        <is>
          <t>Negative</t>
        </is>
      </c>
      <c r="I177" s="5" t="inlineStr">
        <is>
          <t>P3</t>
        </is>
      </c>
      <c r="J177" s="5" t="inlineStr">
        <is>
          <t>Approver (public)</t>
        </is>
      </c>
      <c r="K177" s="5" t="inlineStr">
        <is>
          <t>Automated - UI (fixture)</t>
        </is>
      </c>
      <c r="L177" s="5" t="inlineStr"/>
      <c r="M177" s="5" t="inlineStr">
        <is>
          <t>mrf.controller.js</t>
        </is>
      </c>
      <c r="N177" s="5" t="inlineStr">
        <is>
          <t>New</t>
        </is>
      </c>
      <c r="O177" s="5" t="inlineStr">
        <is>
          <t>Not Run</t>
        </is>
      </c>
      <c r="P177" s="5" t="inlineStr"/>
      <c r="Q177" s="5" t="inlineStr"/>
    </row>
    <row r="178">
      <c r="A178" s="5" t="inlineStr">
        <is>
          <t>MRF-26</t>
        </is>
      </c>
      <c r="B178" s="5" t="inlineStr">
        <is>
          <t>MRF</t>
        </is>
      </c>
      <c r="C178" s="5" t="inlineStr">
        <is>
          <t>Approval</t>
        </is>
      </c>
      <c r="D178" s="5" t="inlineStr">
        <is>
          <t>Re-issue approval links</t>
        </is>
      </c>
      <c r="E178" s="5" t="inlineStr">
        <is>
          <t>Pending MRF; Admin/Recruiter</t>
        </is>
      </c>
      <c r="F178" s="5" t="inlineStr">
        <is>
          <t>1. Details modal &gt; re-issue approval links
2. Repeat on an already-decided MRF</t>
        </is>
      </c>
      <c r="G178" s="5" t="inlineStr">
        <is>
          <t>Pending: new personal links sent, trail marks old ones 'Replaced by a newer link'. Decided: 'This requisition is already approved; there is nothing to re-send.'</t>
        </is>
      </c>
      <c r="H178" s="5" t="inlineStr">
        <is>
          <t>Positive</t>
        </is>
      </c>
      <c r="I178" s="5" t="inlineStr">
        <is>
          <t>P2</t>
        </is>
      </c>
      <c r="J178" s="5" t="inlineStr">
        <is>
          <t>Recruiter</t>
        </is>
      </c>
      <c r="K178" s="5" t="inlineStr">
        <is>
          <t>Automated - UI</t>
        </is>
      </c>
      <c r="L178" s="5" t="inlineStr">
        <is>
          <t>MS Graph mail (delivery check only)</t>
        </is>
      </c>
      <c r="M178" s="5" t="inlineStr">
        <is>
          <t>mrf.routes.js approval-links/reissue</t>
        </is>
      </c>
      <c r="N178" s="5" t="inlineStr">
        <is>
          <t>New</t>
        </is>
      </c>
      <c r="O178" s="5" t="inlineStr">
        <is>
          <t>Not Run</t>
        </is>
      </c>
      <c r="P178" s="5" t="inlineStr"/>
      <c r="Q178" s="5" t="inlineStr"/>
    </row>
    <row r="179">
      <c r="A179" s="5" t="inlineStr">
        <is>
          <t>MRF-27</t>
        </is>
      </c>
      <c r="B179" s="5" t="inlineStr">
        <is>
          <t>MRF</t>
        </is>
      </c>
      <c r="C179" s="5" t="inlineStr">
        <is>
          <t>Closure</t>
        </is>
      </c>
      <c r="D179" s="5" t="inlineStr">
        <is>
          <t>Close requisition needs a reason</t>
        </is>
      </c>
      <c r="E179" s="5" t="inlineStr">
        <is>
          <t>Approved, open MRF</t>
        </is>
      </c>
      <c r="F179" s="5" t="inlineStr">
        <is>
          <t>1. Details &gt; 'Close requisition…'
2. Leave Reason empty</t>
        </is>
      </c>
      <c r="G179" s="5" t="inlineStr">
        <is>
          <t>'Close it' button disabled until a reason is chosen</t>
        </is>
      </c>
      <c r="H179" s="5" t="inlineStr">
        <is>
          <t>Negative</t>
        </is>
      </c>
      <c r="I179" s="5" t="inlineStr">
        <is>
          <t>P1</t>
        </is>
      </c>
      <c r="J179" s="5" t="inlineStr">
        <is>
          <t>Recruiter</t>
        </is>
      </c>
      <c r="K179" s="5" t="inlineStr">
        <is>
          <t>Automated - UI</t>
        </is>
      </c>
      <c r="L179" s="5" t="inlineStr"/>
      <c r="M179" s="5" t="inlineStr">
        <is>
          <t>MRF.jsx</t>
        </is>
      </c>
      <c r="N179" s="5" t="inlineStr">
        <is>
          <t>New</t>
        </is>
      </c>
      <c r="O179" s="5" t="inlineStr">
        <is>
          <t>Not Run</t>
        </is>
      </c>
      <c r="P179" s="5" t="inlineStr"/>
      <c r="Q179" s="5" t="inlineStr"/>
    </row>
    <row r="180">
      <c r="A180" s="5" t="inlineStr">
        <is>
          <t>MRF-28</t>
        </is>
      </c>
      <c r="B180" s="5" t="inlineStr">
        <is>
          <t>MRF</t>
        </is>
      </c>
      <c r="C180" s="5" t="inlineStr">
        <is>
          <t>Closure</t>
        </is>
      </c>
      <c r="D180" s="5" t="inlineStr">
        <is>
          <t>Reason 'Other' needs a note</t>
        </is>
      </c>
      <c r="E180" s="5" t="inlineStr"/>
      <c r="F180" s="5" t="inlineStr">
        <is>
          <t>1. Pick Reason = Other, leave the note empty</t>
        </is>
      </c>
      <c r="G180" s="5" t="inlineStr">
        <is>
          <t>'Close it' stays disabled; API also refuses: 'A note is required when the closure reason is "other".'</t>
        </is>
      </c>
      <c r="H180" s="5" t="inlineStr">
        <is>
          <t>Negative</t>
        </is>
      </c>
      <c r="I180" s="5" t="inlineStr">
        <is>
          <t>P2</t>
        </is>
      </c>
      <c r="J180" s="5" t="inlineStr">
        <is>
          <t>Recruiter</t>
        </is>
      </c>
      <c r="K180" s="5" t="inlineStr">
        <is>
          <t>Automated - UI</t>
        </is>
      </c>
      <c r="L180" s="5" t="inlineStr"/>
      <c r="M180" s="5" t="inlineStr">
        <is>
          <t>mrfClosure.service.js</t>
        </is>
      </c>
      <c r="N180" s="5" t="inlineStr">
        <is>
          <t>New</t>
        </is>
      </c>
      <c r="O180" s="5" t="inlineStr">
        <is>
          <t>Not Run</t>
        </is>
      </c>
      <c r="P180" s="5" t="inlineStr"/>
      <c r="Q180" s="5" t="inlineStr"/>
    </row>
    <row r="181">
      <c r="A181" s="5" t="inlineStr">
        <is>
          <t>MRF-29</t>
        </is>
      </c>
      <c r="B181" s="5" t="inlineStr">
        <is>
          <t>MRF</t>
        </is>
      </c>
      <c r="C181" s="5" t="inlineStr">
        <is>
          <t>Closure</t>
        </is>
      </c>
      <c r="D181" s="5" t="inlineStr">
        <is>
          <t>Close a requisition</t>
        </is>
      </c>
      <c r="E181" s="5" t="inlineStr">
        <is>
          <t>Approved, open MRF visible in the Candidate Screening JD dropdown</t>
        </is>
      </c>
      <c r="F181" s="5" t="inlineStr">
        <is>
          <t>1. Close with a valid reason
2. Open Candidate Screening &gt; JD dropdown</t>
        </is>
      </c>
      <c r="G181" s="5" t="inlineStr">
        <is>
          <t>'Requisition closed - it has left JD filtering.'; CLOSED tag; role no longer in the JD dropdown; approval_status unchanged</t>
        </is>
      </c>
      <c r="H181" s="5" t="inlineStr">
        <is>
          <t>Positive</t>
        </is>
      </c>
      <c r="I181" s="5" t="inlineStr">
        <is>
          <t>P1</t>
        </is>
      </c>
      <c r="J181" s="5" t="inlineStr">
        <is>
          <t>Recruiter</t>
        </is>
      </c>
      <c r="K181" s="5" t="inlineStr">
        <is>
          <t>Automated - UI</t>
        </is>
      </c>
      <c r="L181" s="5" t="inlineStr"/>
      <c r="M181" s="5" t="inlineStr">
        <is>
          <t>CHANGES-2026-08-26-closure-followon-mrf-lifecycle.md</t>
        </is>
      </c>
      <c r="N181" s="5" t="inlineStr">
        <is>
          <t>New</t>
        </is>
      </c>
      <c r="O181" s="5" t="inlineStr">
        <is>
          <t>Not Run</t>
        </is>
      </c>
      <c r="P181" s="5" t="inlineStr"/>
      <c r="Q181" s="5" t="inlineStr"/>
    </row>
    <row r="182">
      <c r="A182" s="5" t="inlineStr">
        <is>
          <t>MRF-30</t>
        </is>
      </c>
      <c r="B182" s="5" t="inlineStr">
        <is>
          <t>MRF</t>
        </is>
      </c>
      <c r="C182" s="5" t="inlineStr">
        <is>
          <t>Closure</t>
        </is>
      </c>
      <c r="D182" s="5" t="inlineStr">
        <is>
          <t>Close an already-closed requisition</t>
        </is>
      </c>
      <c r="E182" s="5" t="inlineStr">
        <is>
          <t>MRF closed (MRF-29)</t>
        </is>
      </c>
      <c r="F182" s="5" t="inlineStr">
        <is>
          <t>1. POST /api/mrf/&lt;id&gt;/close again</t>
        </is>
      </c>
      <c r="G182" s="5" t="inlineStr">
        <is>
          <t>409 'This requisition is already closed.'</t>
        </is>
      </c>
      <c r="H182" s="5" t="inlineStr">
        <is>
          <t>Negative</t>
        </is>
      </c>
      <c r="I182" s="5" t="inlineStr">
        <is>
          <t>P3</t>
        </is>
      </c>
      <c r="J182" s="5" t="inlineStr">
        <is>
          <t>Recruiter</t>
        </is>
      </c>
      <c r="K182" s="5" t="inlineStr">
        <is>
          <t>Automated - API</t>
        </is>
      </c>
      <c r="L182" s="5" t="inlineStr"/>
      <c r="M182" s="5" t="inlineStr">
        <is>
          <t>mrfClosure.service.js</t>
        </is>
      </c>
      <c r="N182" s="5" t="inlineStr">
        <is>
          <t>New</t>
        </is>
      </c>
      <c r="O182" s="5" t="inlineStr">
        <is>
          <t>Not Run</t>
        </is>
      </c>
      <c r="P182" s="5" t="inlineStr"/>
      <c r="Q182" s="5" t="inlineStr"/>
    </row>
    <row r="183">
      <c r="A183" s="5" t="inlineStr">
        <is>
          <t>MRF-31</t>
        </is>
      </c>
      <c r="B183" s="5" t="inlineStr">
        <is>
          <t>MRF</t>
        </is>
      </c>
      <c r="C183" s="5" t="inlineStr">
        <is>
          <t>Closure</t>
        </is>
      </c>
      <c r="D183" s="5" t="inlineStr">
        <is>
          <t>Re-open a requisition</t>
        </is>
      </c>
      <c r="E183" s="5" t="inlineStr">
        <is>
          <t>MRF closed (MRF-29)</t>
        </is>
      </c>
      <c r="F183" s="5" t="inlineStr">
        <is>
          <t>1. Details &gt; 'Re-open requisition'
2. Check the JD dropdown</t>
        </is>
      </c>
      <c r="G183" s="5" t="inlineStr">
        <is>
          <t>'Requisition re-opened - it is back in JD filtering.'; role back in the dropdown</t>
        </is>
      </c>
      <c r="H183" s="5" t="inlineStr">
        <is>
          <t>Positive</t>
        </is>
      </c>
      <c r="I183" s="5" t="inlineStr">
        <is>
          <t>P1</t>
        </is>
      </c>
      <c r="J183" s="5" t="inlineStr">
        <is>
          <t>Recruiter</t>
        </is>
      </c>
      <c r="K183" s="5" t="inlineStr">
        <is>
          <t>Automated - UI</t>
        </is>
      </c>
      <c r="L183" s="5" t="inlineStr"/>
      <c r="M183" s="5" t="inlineStr">
        <is>
          <t>MRF.jsx</t>
        </is>
      </c>
      <c r="N183" s="5" t="inlineStr">
        <is>
          <t>New</t>
        </is>
      </c>
      <c r="O183" s="5" t="inlineStr">
        <is>
          <t>Not Run</t>
        </is>
      </c>
      <c r="P183" s="5" t="inlineStr"/>
      <c r="Q183" s="5" t="inlineStr"/>
    </row>
    <row r="184">
      <c r="A184" s="5" t="inlineStr">
        <is>
          <t>MRF-32</t>
        </is>
      </c>
      <c r="B184" s="5" t="inlineStr">
        <is>
          <t>MRF</t>
        </is>
      </c>
      <c r="C184" s="5" t="inlineStr">
        <is>
          <t>Closure</t>
        </is>
      </c>
      <c r="D184" s="5" t="inlineStr">
        <is>
          <t>Auto-fill closes the requisition</t>
        </is>
      </c>
      <c r="E184" s="5" t="inlineStr">
        <is>
          <t>MRF with 1 opening; candidate at Offer</t>
        </is>
      </c>
      <c r="F184" s="5" t="inlineStr">
        <is>
          <t>1. Record offer shared &gt; Mark accepted (OFR-02/03)
2. Open the MRF details</t>
        </is>
      </c>
      <c r="G184" s="5" t="inlineStr">
        <is>
          <t>MRF marked filled ('all openings filled' tag); leaves JD filtering. Closing the hire as 'Did Not Join' re-opens it</t>
        </is>
      </c>
      <c r="H184" s="5" t="inlineStr">
        <is>
          <t>Positive</t>
        </is>
      </c>
      <c r="I184" s="5" t="inlineStr">
        <is>
          <t>P1</t>
        </is>
      </c>
      <c r="J184" s="5" t="inlineStr">
        <is>
          <t>Recruiter</t>
        </is>
      </c>
      <c r="K184" s="5" t="inlineStr">
        <is>
          <t>Automated - UI (fixture)</t>
        </is>
      </c>
      <c r="L184" s="5" t="inlineStr"/>
      <c r="M184" s="5" t="inlineStr">
        <is>
          <t>CHANGES-phase3-mrf-closure-on-offer-accepted.md</t>
        </is>
      </c>
      <c r="N184" s="5" t="inlineStr">
        <is>
          <t>New</t>
        </is>
      </c>
      <c r="O184" s="5" t="inlineStr">
        <is>
          <t>Not Run</t>
        </is>
      </c>
      <c r="P184" s="5" t="inlineStr"/>
      <c r="Q184" s="5" t="inlineStr"/>
    </row>
    <row r="185">
      <c r="A185" s="5" t="inlineStr">
        <is>
          <t>MRF-33</t>
        </is>
      </c>
      <c r="B185" s="5" t="inlineStr">
        <is>
          <t>MRF</t>
        </is>
      </c>
      <c r="C185" s="5" t="inlineStr">
        <is>
          <t>Closure</t>
        </is>
      </c>
      <c r="D185" s="5" t="inlineStr">
        <is>
          <t>One hire fills only one seat</t>
        </is>
      </c>
      <c r="E185" s="5" t="inlineStr">
        <is>
          <t>MRF with 2 openings; one candidate with accepted offer AND closed as Joined</t>
        </is>
      </c>
      <c r="F185" s="5" t="inlineStr">
        <is>
          <t>1. Check the MRF fill state</t>
        </is>
      </c>
      <c r="G185" s="5" t="inlineStr">
        <is>
          <t>MRF stays open (1 of 2 seats filled) - offer + Joined on the same journey count once</t>
        </is>
      </c>
      <c r="H185" s="5" t="inlineStr">
        <is>
          <t>Positive</t>
        </is>
      </c>
      <c r="I185" s="5" t="inlineStr">
        <is>
          <t>P2</t>
        </is>
      </c>
      <c r="J185" s="5" t="inlineStr">
        <is>
          <t>Recruiter</t>
        </is>
      </c>
      <c r="K185" s="5" t="inlineStr">
        <is>
          <t>Automated - UI (fixture)</t>
        </is>
      </c>
      <c r="L185" s="5" t="inlineStr"/>
      <c r="M185" s="5" t="inlineStr">
        <is>
          <t>CHANGES-2026-08-26-closure-followon-mrf-lifecycle.md</t>
        </is>
      </c>
      <c r="N185" s="5" t="inlineStr">
        <is>
          <t>New</t>
        </is>
      </c>
      <c r="O185" s="5" t="inlineStr">
        <is>
          <t>Not Run</t>
        </is>
      </c>
      <c r="P185" s="5" t="inlineStr"/>
      <c r="Q185" s="5" t="inlineStr"/>
    </row>
    <row r="186">
      <c r="A186" s="5" t="inlineStr">
        <is>
          <t>MRF-34</t>
        </is>
      </c>
      <c r="B186" s="5" t="inlineStr">
        <is>
          <t>MRF</t>
        </is>
      </c>
      <c r="C186" s="5" t="inlineStr">
        <is>
          <t>Security</t>
        </is>
      </c>
      <c r="D186" s="5" t="inlineStr">
        <is>
          <t>Vendor cannot export MRFs</t>
        </is>
      </c>
      <c r="E186" s="5" t="inlineStr">
        <is>
          <t>Vendor JWT</t>
        </is>
      </c>
      <c r="F186" s="5" t="inlineStr">
        <is>
          <t>1. GET /api/mrf/export with vendor token</t>
        </is>
      </c>
      <c r="G186" s="5" t="inlineStr">
        <is>
          <t>403 - budgets are never exposed to vendors</t>
        </is>
      </c>
      <c r="H186" s="5" t="inlineStr">
        <is>
          <t>Security</t>
        </is>
      </c>
      <c r="I186" s="5" t="inlineStr">
        <is>
          <t>P1</t>
        </is>
      </c>
      <c r="J186" s="5" t="inlineStr">
        <is>
          <t>Vendor</t>
        </is>
      </c>
      <c r="K186" s="5" t="inlineStr">
        <is>
          <t>Automated - API</t>
        </is>
      </c>
      <c r="L186" s="5" t="inlineStr"/>
      <c r="M186" s="5" t="inlineStr">
        <is>
          <t>mrf.routes.js</t>
        </is>
      </c>
      <c r="N186" s="5" t="inlineStr">
        <is>
          <t>New</t>
        </is>
      </c>
      <c r="O186" s="5" t="inlineStr">
        <is>
          <t>Not Run</t>
        </is>
      </c>
      <c r="P186" s="5" t="inlineStr"/>
      <c r="Q186" s="5" t="inlineStr"/>
    </row>
    <row r="187">
      <c r="A187" s="5" t="inlineStr">
        <is>
          <t>MRF-35</t>
        </is>
      </c>
      <c r="B187" s="5" t="inlineStr">
        <is>
          <t>MRF</t>
        </is>
      </c>
      <c r="C187" s="5" t="inlineStr">
        <is>
          <t>Approval</t>
        </is>
      </c>
      <c r="D187" s="5" t="inlineStr">
        <is>
          <t>Approval reminder emails</t>
        </is>
      </c>
      <c r="E187" s="5" t="inlineStr">
        <is>
          <t>Pending MRF older than the reminder threshold</t>
        </is>
      </c>
      <c r="F187" s="5" t="inlineStr">
        <is>
          <t>1. Run the reminder job (scripts/run-reminders-once.mjs)</t>
        </is>
      </c>
      <c r="G187" s="5" t="inlineStr">
        <is>
          <t>Reminder sent to approvers who have not decided; none after a decision</t>
        </is>
      </c>
      <c r="H187" s="5" t="inlineStr">
        <is>
          <t>Positive</t>
        </is>
      </c>
      <c r="I187" s="5" t="inlineStr">
        <is>
          <t>P3</t>
        </is>
      </c>
      <c r="J187" s="5" t="inlineStr">
        <is>
          <t>System</t>
        </is>
      </c>
      <c r="K187" s="5" t="inlineStr">
        <is>
          <t>Manual - Scheduled job</t>
        </is>
      </c>
      <c r="L187" s="5" t="inlineStr">
        <is>
          <t>MS Graph mail (delivery check only)</t>
        </is>
      </c>
      <c r="M187" s="5" t="inlineStr">
        <is>
          <t>CHANGES-2026-09-24-mrf-approval-reminders.md</t>
        </is>
      </c>
      <c r="N187" s="5" t="inlineStr">
        <is>
          <t>New</t>
        </is>
      </c>
      <c r="O187" s="5" t="inlineStr">
        <is>
          <t>Not Run</t>
        </is>
      </c>
      <c r="P187" s="5" t="inlineStr"/>
      <c r="Q187" s="5" t="inlineStr"/>
    </row>
    <row r="188">
      <c r="A188" s="5" t="inlineStr">
        <is>
          <t>VND-01</t>
        </is>
      </c>
      <c r="B188" s="5" t="inlineStr">
        <is>
          <t>Vendor</t>
        </is>
      </c>
      <c r="C188" s="5" t="inlineStr">
        <is>
          <t>Vendor Dashboard</t>
        </is>
      </c>
      <c r="D188" s="5" t="inlineStr">
        <is>
          <t>Vendor lands on their dashboard</t>
        </is>
      </c>
      <c r="E188" s="5" t="inlineStr">
        <is>
          <t>Vendor account</t>
        </is>
      </c>
      <c r="F188" s="5" t="inlineStr">
        <is>
          <t>1. Log in as vendor</t>
        </is>
      </c>
      <c r="G188" s="5" t="inlineStr">
        <is>
          <t>Lands on /vendor-dashboard; KPIs 'Total Candidates', 'Added This Month', 'With Position Applied' and the Selection Rate gauge</t>
        </is>
      </c>
      <c r="H188" s="5" t="inlineStr">
        <is>
          <t>Positive</t>
        </is>
      </c>
      <c r="I188" s="5" t="inlineStr">
        <is>
          <t>P1</t>
        </is>
      </c>
      <c r="J188" s="5" t="inlineStr">
        <is>
          <t>Vendor</t>
        </is>
      </c>
      <c r="K188" s="5" t="inlineStr">
        <is>
          <t>Automated - UI</t>
        </is>
      </c>
      <c r="L188" s="5" t="inlineStr"/>
      <c r="M188" s="5" t="inlineStr">
        <is>
          <t>VendorDashboard.jsx</t>
        </is>
      </c>
      <c r="N188" s="5" t="inlineStr">
        <is>
          <t>New</t>
        </is>
      </c>
      <c r="O188" s="5" t="inlineStr">
        <is>
          <t>Not Run</t>
        </is>
      </c>
      <c r="P188" s="5" t="inlineStr"/>
      <c r="Q188" s="5" t="inlineStr"/>
    </row>
    <row r="189">
      <c r="A189" s="5" t="inlineStr">
        <is>
          <t>VND-02</t>
        </is>
      </c>
      <c r="B189" s="5" t="inlineStr">
        <is>
          <t>Vendor</t>
        </is>
      </c>
      <c r="C189" s="5" t="inlineStr">
        <is>
          <t>Vendor Dashboard</t>
        </is>
      </c>
      <c r="D189" s="5" t="inlineStr">
        <is>
          <t>Vendor sees only their own candidates</t>
        </is>
      </c>
      <c r="E189" s="5" t="inlineStr">
        <is>
          <t>Candidates seeded for vendor A and vendor B</t>
        </is>
      </c>
      <c r="F189" s="5" t="inlineStr">
        <is>
          <t>1. Log in as vendor A
2. Review Recent Submissions and KPIs</t>
        </is>
      </c>
      <c r="G189" s="5" t="inlineStr">
        <is>
          <t>Only vendor A's candidates appear and are counted; no vendor filter is offered</t>
        </is>
      </c>
      <c r="H189" s="5" t="inlineStr">
        <is>
          <t>Security</t>
        </is>
      </c>
      <c r="I189" s="5" t="inlineStr">
        <is>
          <t>P1</t>
        </is>
      </c>
      <c r="J189" s="5" t="inlineStr">
        <is>
          <t>Vendor</t>
        </is>
      </c>
      <c r="K189" s="5" t="inlineStr">
        <is>
          <t>Automated - UI (fixture)</t>
        </is>
      </c>
      <c r="L189" s="5" t="inlineStr"/>
      <c r="M189" s="5" t="inlineStr">
        <is>
          <t>utils/vendorScope.js</t>
        </is>
      </c>
      <c r="N189" s="5" t="inlineStr">
        <is>
          <t>New</t>
        </is>
      </c>
      <c r="O189" s="5" t="inlineStr">
        <is>
          <t>Not Run</t>
        </is>
      </c>
      <c r="P189" s="5" t="inlineStr"/>
      <c r="Q189" s="5" t="inlineStr"/>
    </row>
    <row r="190">
      <c r="A190" s="5" t="inlineStr">
        <is>
          <t>VND-03</t>
        </is>
      </c>
      <c r="B190" s="5" t="inlineStr">
        <is>
          <t>Vendor</t>
        </is>
      </c>
      <c r="C190" s="5" t="inlineStr">
        <is>
          <t>Vendor Dashboard</t>
        </is>
      </c>
      <c r="D190" s="5" t="inlineStr">
        <is>
          <t>Stage column reflects the real pipeline</t>
        </is>
      </c>
      <c r="E190" s="5" t="inlineStr">
        <is>
          <t>Vendor candidates: one never shortlisted, one in pipeline, one closed</t>
        </is>
      </c>
      <c r="F190" s="5" t="inlineStr">
        <is>
          <t>1. Open Recent Submissions</t>
        </is>
      </c>
      <c r="G190" s="5" t="inlineStr">
        <is>
          <t>'Not in pipeline' / current stage name / 'Closed' tag respectively</t>
        </is>
      </c>
      <c r="H190" s="5" t="inlineStr">
        <is>
          <t>Positive</t>
        </is>
      </c>
      <c r="I190" s="5" t="inlineStr">
        <is>
          <t>P2</t>
        </is>
      </c>
      <c r="J190" s="5" t="inlineStr">
        <is>
          <t>Vendor</t>
        </is>
      </c>
      <c r="K190" s="5" t="inlineStr">
        <is>
          <t>Automated - UI (fixture)</t>
        </is>
      </c>
      <c r="L190" s="5" t="inlineStr"/>
      <c r="M190" s="5" t="inlineStr">
        <is>
          <t>CHANGES-phase3-m6-vendor.md</t>
        </is>
      </c>
      <c r="N190" s="5" t="inlineStr">
        <is>
          <t>New</t>
        </is>
      </c>
      <c r="O190" s="5" t="inlineStr">
        <is>
          <t>Not Run</t>
        </is>
      </c>
      <c r="P190" s="5" t="inlineStr"/>
      <c r="Q190" s="5" t="inlineStr"/>
    </row>
    <row r="191">
      <c r="A191" s="5" t="inlineStr">
        <is>
          <t>VND-04</t>
        </is>
      </c>
      <c r="B191" s="5" t="inlineStr">
        <is>
          <t>Vendor</t>
        </is>
      </c>
      <c r="C191" s="5" t="inlineStr">
        <is>
          <t>Vendor Dashboard</t>
        </is>
      </c>
      <c r="D191" s="5" t="inlineStr">
        <is>
          <t>Selection rate formula</t>
        </is>
      </c>
      <c r="E191" s="5" t="inlineStr">
        <is>
          <t>Known counts of selected and rejected</t>
        </is>
      </c>
      <c r="F191" s="5" t="inlineStr">
        <is>
          <t>1. Hover the Selection Rate tooltip and compare with the stage breakdown</t>
        </is>
      </c>
      <c r="G191" s="5" t="inlineStr">
        <is>
          <t>Rate = Selected / (Selected + Rejected)</t>
        </is>
      </c>
      <c r="H191" s="5" t="inlineStr">
        <is>
          <t>Positive</t>
        </is>
      </c>
      <c r="I191" s="5" t="inlineStr">
        <is>
          <t>P3</t>
        </is>
      </c>
      <c r="J191" s="5" t="inlineStr">
        <is>
          <t>Vendor</t>
        </is>
      </c>
      <c r="K191" s="5" t="inlineStr">
        <is>
          <t>Automated - UI (fixture)</t>
        </is>
      </c>
      <c r="L191" s="5" t="inlineStr"/>
      <c r="M191" s="5" t="inlineStr">
        <is>
          <t>VendorDashboard.jsx</t>
        </is>
      </c>
      <c r="N191" s="5" t="inlineStr">
        <is>
          <t>New</t>
        </is>
      </c>
      <c r="O191" s="5" t="inlineStr">
        <is>
          <t>Not Run</t>
        </is>
      </c>
      <c r="P191" s="5" t="inlineStr"/>
      <c r="Q191" s="5" t="inlineStr"/>
    </row>
    <row r="192">
      <c r="A192" s="5" t="inlineStr">
        <is>
          <t>VND-05</t>
        </is>
      </c>
      <c r="B192" s="5" t="inlineStr">
        <is>
          <t>Vendor</t>
        </is>
      </c>
      <c r="C192" s="5" t="inlineStr">
        <is>
          <t>Vendor Dashboard</t>
        </is>
      </c>
      <c r="D192" s="5" t="inlineStr">
        <is>
          <t>Export own submissions</t>
        </is>
      </c>
      <c r="E192" s="5" t="inlineStr"/>
      <c r="F192" s="5" t="inlineStr">
        <is>
          <t>1. Click Export</t>
        </is>
      </c>
      <c r="G192" s="5" t="inlineStr">
        <is>
          <t>CSV contains only the logged-in vendor's rows</t>
        </is>
      </c>
      <c r="H192" s="5" t="inlineStr">
        <is>
          <t>Security</t>
        </is>
      </c>
      <c r="I192" s="5" t="inlineStr">
        <is>
          <t>P2</t>
        </is>
      </c>
      <c r="J192" s="5" t="inlineStr">
        <is>
          <t>Vendor</t>
        </is>
      </c>
      <c r="K192" s="5" t="inlineStr">
        <is>
          <t>Automated - UI (fixture)</t>
        </is>
      </c>
      <c r="L192" s="5" t="inlineStr"/>
      <c r="M192" s="5" t="inlineStr">
        <is>
          <t>VendorDashboard.jsx</t>
        </is>
      </c>
      <c r="N192" s="5" t="inlineStr">
        <is>
          <t>New</t>
        </is>
      </c>
      <c r="O192" s="5" t="inlineStr">
        <is>
          <t>Not Run</t>
        </is>
      </c>
      <c r="P192" s="5" t="inlineStr"/>
      <c r="Q192" s="5" t="inlineStr"/>
    </row>
    <row r="193">
      <c r="A193" s="5" t="inlineStr">
        <is>
          <t>VND-06</t>
        </is>
      </c>
      <c r="B193" s="5" t="inlineStr">
        <is>
          <t>Vendor</t>
        </is>
      </c>
      <c r="C193" s="5" t="inlineStr">
        <is>
          <t>Vendor Dashboard</t>
        </is>
      </c>
      <c r="D193" s="5" t="inlineStr">
        <is>
          <t>Staff view with vendor filter</t>
        </is>
      </c>
      <c r="E193" s="5" t="inlineStr">
        <is>
          <t>Recruiter</t>
        </is>
      </c>
      <c r="F193" s="5" t="inlineStr">
        <is>
          <t>1. Open Vendor Dashboard as recruiter
2. Choose a vendor in 'All Vendors'</t>
        </is>
      </c>
      <c r="G193" s="5" t="inlineStr">
        <is>
          <t>Extra 'Pending Review' KPI shown; data narrows to the selected vendor</t>
        </is>
      </c>
      <c r="H193" s="5" t="inlineStr">
        <is>
          <t>Positive</t>
        </is>
      </c>
      <c r="I193" s="5" t="inlineStr">
        <is>
          <t>P2</t>
        </is>
      </c>
      <c r="J193" s="5" t="inlineStr">
        <is>
          <t>Recruiter</t>
        </is>
      </c>
      <c r="K193" s="5" t="inlineStr">
        <is>
          <t>Automated - UI (fixture)</t>
        </is>
      </c>
      <c r="L193" s="5" t="inlineStr"/>
      <c r="M193" s="5" t="inlineStr">
        <is>
          <t>VendorDashboard.jsx</t>
        </is>
      </c>
      <c r="N193" s="5" t="inlineStr">
        <is>
          <t>New</t>
        </is>
      </c>
      <c r="O193" s="5" t="inlineStr">
        <is>
          <t>Not Run</t>
        </is>
      </c>
      <c r="P193" s="5" t="inlineStr"/>
      <c r="Q193" s="5" t="inlineStr"/>
    </row>
    <row r="194">
      <c r="A194" s="5" t="inlineStr">
        <is>
          <t>VND-07</t>
        </is>
      </c>
      <c r="B194" s="5" t="inlineStr">
        <is>
          <t>Vendor</t>
        </is>
      </c>
      <c r="C194" s="5" t="inlineStr">
        <is>
          <t>Vendor Upload</t>
        </is>
      </c>
      <c r="D194" s="5" t="inlineStr">
        <is>
          <t>Upload button disabled without files</t>
        </is>
      </c>
      <c r="E194" s="5" t="inlineStr">
        <is>
          <t>Vendor</t>
        </is>
      </c>
      <c r="F194" s="5" t="inlineStr">
        <is>
          <t>1. Open /vendor (Upload Candidate)</t>
        </is>
      </c>
      <c r="G194" s="5" t="inlineStr">
        <is>
          <t>Dragger shows 'Supported: .pdf, .docx, .zip'; 'Upload Resumes' disabled until a file is added</t>
        </is>
      </c>
      <c r="H194" s="5" t="inlineStr">
        <is>
          <t>Negative</t>
        </is>
      </c>
      <c r="I194" s="5" t="inlineStr">
        <is>
          <t>P2</t>
        </is>
      </c>
      <c r="J194" s="5" t="inlineStr">
        <is>
          <t>Vendor</t>
        </is>
      </c>
      <c r="K194" s="5" t="inlineStr">
        <is>
          <t>Automated - UI</t>
        </is>
      </c>
      <c r="L194" s="5" t="inlineStr"/>
      <c r="M194" s="5" t="inlineStr">
        <is>
          <t>VendorPortal.jsx</t>
        </is>
      </c>
      <c r="N194" s="5" t="inlineStr">
        <is>
          <t>New</t>
        </is>
      </c>
      <c r="O194" s="5" t="inlineStr">
        <is>
          <t>Not Run</t>
        </is>
      </c>
      <c r="P194" s="5" t="inlineStr"/>
      <c r="Q194" s="5" t="inlineStr"/>
    </row>
    <row r="195">
      <c r="A195" s="5" t="inlineStr">
        <is>
          <t>VND-08</t>
        </is>
      </c>
      <c r="B195" s="5" t="inlineStr">
        <is>
          <t>Vendor</t>
        </is>
      </c>
      <c r="C195" s="5" t="inlineStr">
        <is>
          <t>Vendor Upload</t>
        </is>
      </c>
      <c r="D195" s="5" t="inlineStr">
        <is>
          <t>Staff must pick a vendor</t>
        </is>
      </c>
      <c r="E195" s="5" t="inlineStr">
        <is>
          <t>Recruiter on /vendor</t>
        </is>
      </c>
      <c r="F195" s="5" t="inlineStr">
        <is>
          <t>1. Add a file without selecting 'On behalf of vendor'
2. Select a vendor</t>
        </is>
      </c>
      <c r="G195" s="5" t="inlineStr">
        <is>
          <t>Tag 'Select a vendor (top right) to upload on their behalf'; button disabled. After selection: 'Uploading for: &lt;vendor&gt;' and button enabled</t>
        </is>
      </c>
      <c r="H195" s="5" t="inlineStr">
        <is>
          <t>Negative</t>
        </is>
      </c>
      <c r="I195" s="5" t="inlineStr">
        <is>
          <t>P2</t>
        </is>
      </c>
      <c r="J195" s="5" t="inlineStr">
        <is>
          <t>Recruiter</t>
        </is>
      </c>
      <c r="K195" s="5" t="inlineStr">
        <is>
          <t>Automated - UI</t>
        </is>
      </c>
      <c r="L195" s="5" t="inlineStr"/>
      <c r="M195" s="5" t="inlineStr">
        <is>
          <t>VendorPortal.jsx</t>
        </is>
      </c>
      <c r="N195" s="5" t="inlineStr">
        <is>
          <t>New</t>
        </is>
      </c>
      <c r="O195" s="5" t="inlineStr">
        <is>
          <t>Not Run</t>
        </is>
      </c>
      <c r="P195" s="5" t="inlineStr"/>
      <c r="Q195" s="5" t="inlineStr"/>
    </row>
    <row r="196">
      <c r="A196" s="5" t="inlineStr">
        <is>
          <t>VND-09</t>
        </is>
      </c>
      <c r="B196" s="5" t="inlineStr">
        <is>
          <t>Vendor</t>
        </is>
      </c>
      <c r="C196" s="5" t="inlineStr">
        <is>
          <t>Vendor Upload</t>
        </is>
      </c>
      <c r="D196" s="5" t="inlineStr">
        <is>
          <t>Vendor uploads a resume</t>
        </is>
      </c>
      <c r="E196" s="5" t="inlineStr">
        <is>
          <t>Valid PDF resume</t>
        </is>
      </c>
      <c r="F196" s="5" t="inlineStr">
        <is>
          <t>1. Add file
2. Click 'Upload Resumes'
3. Watch Upload Status</t>
        </is>
      </c>
      <c r="G196" s="5" t="inlineStr">
        <is>
          <t>Job goes Uploaded &gt; Processing &gt; Saved to Database; candidate attributed to the vendor with a 90-day lock</t>
        </is>
      </c>
      <c r="H196" s="5" t="inlineStr">
        <is>
          <t>Positive</t>
        </is>
      </c>
      <c r="I196" s="5" t="inlineStr">
        <is>
          <t>P1</t>
        </is>
      </c>
      <c r="J196" s="5" t="inlineStr">
        <is>
          <t>Vendor</t>
        </is>
      </c>
      <c r="K196" s="5" t="inlineStr">
        <is>
          <t>Manual - External</t>
        </is>
      </c>
      <c r="L196" s="5" t="inlineStr">
        <is>
          <t>AI resume parser (Gemini / OpenRouter / Cohere)</t>
        </is>
      </c>
      <c r="M196" s="5" t="inlineStr">
        <is>
          <t>VendorPortal.jsx</t>
        </is>
      </c>
      <c r="N196" s="5" t="inlineStr">
        <is>
          <t>New</t>
        </is>
      </c>
      <c r="O196" s="5" t="inlineStr">
        <is>
          <t>Not Run</t>
        </is>
      </c>
      <c r="P196" s="5" t="inlineStr"/>
      <c r="Q196" s="5" t="inlineStr"/>
    </row>
    <row r="197">
      <c r="A197" s="5" t="inlineStr">
        <is>
          <t>VND-10</t>
        </is>
      </c>
      <c r="B197" s="5" t="inlineStr">
        <is>
          <t>Vendor</t>
        </is>
      </c>
      <c r="C197" s="5" t="inlineStr">
        <is>
          <t>Vendor Upload</t>
        </is>
      </c>
      <c r="D197" s="5" t="inlineStr">
        <is>
          <t>Upload Status filters and refresh</t>
        </is>
      </c>
      <c r="E197" s="5" t="inlineStr">
        <is>
          <t>Some upload jobs exist</t>
        </is>
      </c>
      <c r="F197" s="5" t="inlineStr">
        <is>
          <t>1. Filter by vendor and by status
2. Click Refresh</t>
        </is>
      </c>
      <c r="G197" s="5" t="inlineStr">
        <is>
          <t>Counts (Total Uploads, Processing, Saved to Database, Pending Review) and table follow the filters</t>
        </is>
      </c>
      <c r="H197" s="5" t="inlineStr">
        <is>
          <t>Positive</t>
        </is>
      </c>
      <c r="I197" s="5" t="inlineStr">
        <is>
          <t>P3</t>
        </is>
      </c>
      <c r="J197" s="5" t="inlineStr">
        <is>
          <t>Recruiter</t>
        </is>
      </c>
      <c r="K197" s="5" t="inlineStr">
        <is>
          <t>Automated - UI (fixture)</t>
        </is>
      </c>
      <c r="L197" s="5" t="inlineStr"/>
      <c r="M197" s="5" t="inlineStr">
        <is>
          <t>VendorPortal.jsx</t>
        </is>
      </c>
      <c r="N197" s="5" t="inlineStr">
        <is>
          <t>New</t>
        </is>
      </c>
      <c r="O197" s="5" t="inlineStr">
        <is>
          <t>Not Run</t>
        </is>
      </c>
      <c r="P197" s="5" t="inlineStr"/>
      <c r="Q197" s="5" t="inlineStr"/>
    </row>
    <row r="198">
      <c r="A198" s="5" t="inlineStr">
        <is>
          <t>VND-11</t>
        </is>
      </c>
      <c r="B198" s="5" t="inlineStr">
        <is>
          <t>Vendor</t>
        </is>
      </c>
      <c r="C198" s="5" t="inlineStr">
        <is>
          <t>Vendor Upload</t>
        </is>
      </c>
      <c r="D198" s="5" t="inlineStr">
        <is>
          <t>Second vendor cannot take a locked candidate</t>
        </is>
      </c>
      <c r="E198" s="5" t="inlineStr">
        <is>
          <t>Candidate locked to vendor A (within 90 days)</t>
        </is>
      </c>
      <c r="F198" s="5" t="inlineStr">
        <is>
          <t>1. Vendor B uploads the same candidate
2. Recruiter merges the duplicate</t>
        </is>
      </c>
      <c r="G198" s="5" t="inlineStr">
        <is>
          <t>Merge keeps vendor A as owner and does not restart the 90-day window</t>
        </is>
      </c>
      <c r="H198" s="5" t="inlineStr">
        <is>
          <t>Security</t>
        </is>
      </c>
      <c r="I198" s="5" t="inlineStr">
        <is>
          <t>P1</t>
        </is>
      </c>
      <c r="J198" s="5" t="inlineStr">
        <is>
          <t>Vendor / Recruiter</t>
        </is>
      </c>
      <c r="K198" s="5" t="inlineStr">
        <is>
          <t>Manual - External</t>
        </is>
      </c>
      <c r="L198" s="5" t="inlineStr">
        <is>
          <t>AI resume parser (Gemini / OpenRouter / Cohere)</t>
        </is>
      </c>
      <c r="M198" s="5" t="inlineStr">
        <is>
          <t>CHANGES-phase3-m6-vendor.md</t>
        </is>
      </c>
      <c r="N198" s="5" t="inlineStr">
        <is>
          <t>New</t>
        </is>
      </c>
      <c r="O198" s="5" t="inlineStr">
        <is>
          <t>Not Run</t>
        </is>
      </c>
      <c r="P198" s="5" t="inlineStr"/>
      <c r="Q198" s="5" t="inlineStr"/>
    </row>
    <row r="199">
      <c r="A199" s="5" t="inlineStr">
        <is>
          <t>VND-12</t>
        </is>
      </c>
      <c r="B199" s="5" t="inlineStr">
        <is>
          <t>Vendor</t>
        </is>
      </c>
      <c r="C199" s="5" t="inlineStr">
        <is>
          <t>Vendor Upload</t>
        </is>
      </c>
      <c r="D199" s="5" t="inlineStr">
        <is>
          <t>Re-submission of a recently rejected candidate</t>
        </is>
      </c>
      <c r="E199" s="5" t="inlineStr">
        <is>
          <t>Candidate rejected &lt; 6 months ago</t>
        </is>
      </c>
      <c r="F199" s="5" t="inlineStr">
        <is>
          <t>1. Vendor uploads the candidate again</t>
        </is>
      </c>
      <c r="G199" s="5" t="inlineStr">
        <is>
          <t>Row carries a 'Note' advisory tag about the cooling-off; resume is still queued (not blocked)</t>
        </is>
      </c>
      <c r="H199" s="5" t="inlineStr">
        <is>
          <t>Positive</t>
        </is>
      </c>
      <c r="I199" s="5" t="inlineStr">
        <is>
          <t>P3</t>
        </is>
      </c>
      <c r="J199" s="5" t="inlineStr">
        <is>
          <t>Vendor</t>
        </is>
      </c>
      <c r="K199" s="5" t="inlineStr">
        <is>
          <t>Manual - External</t>
        </is>
      </c>
      <c r="L199" s="5" t="inlineStr">
        <is>
          <t>AI resume parser (Gemini / OpenRouter / Cohere)</t>
        </is>
      </c>
      <c r="M199" s="5" t="inlineStr">
        <is>
          <t>CHANGES-phase3-m6-vendor.md</t>
        </is>
      </c>
      <c r="N199" s="5" t="inlineStr">
        <is>
          <t>New</t>
        </is>
      </c>
      <c r="O199" s="5" t="inlineStr">
        <is>
          <t>Not Run</t>
        </is>
      </c>
      <c r="P199" s="5" t="inlineStr"/>
      <c r="Q199" s="5" t="inlineStr"/>
    </row>
    <row r="200">
      <c r="A200" s="5" t="inlineStr">
        <is>
          <t>VND-13</t>
        </is>
      </c>
      <c r="B200" s="5" t="inlineStr">
        <is>
          <t>Vendor</t>
        </is>
      </c>
      <c r="C200" s="5" t="inlineStr">
        <is>
          <t>Vendor notifications</t>
        </is>
      </c>
      <c r="D200" s="5" t="inlineStr">
        <is>
          <t>Vendor status email per stage</t>
        </is>
      </c>
      <c r="E200" s="5" t="inlineStr">
        <is>
          <t>Vendor-sourced journey with an active lock</t>
        </is>
      </c>
      <c r="F200" s="5" t="inlineStr">
        <is>
          <t>1. Record an outcome at Tech 1
2. Raise a document request
3. Record offer shared</t>
        </is>
      </c>
      <c r="G200" s="5" t="inlineStr">
        <is>
          <t>Tech 1: vendor gets a separate status-only email (no candidate copy). Documents: vendor gets nothing. Offer: bare milestone line, no figures or dates</t>
        </is>
      </c>
      <c r="H200" s="5" t="inlineStr">
        <is>
          <t>Security</t>
        </is>
      </c>
      <c r="I200" s="5" t="inlineStr">
        <is>
          <t>P1</t>
        </is>
      </c>
      <c r="J200" s="5" t="inlineStr">
        <is>
          <t>Recruiter</t>
        </is>
      </c>
      <c r="K200" s="5" t="inlineStr">
        <is>
          <t>Manual - External</t>
        </is>
      </c>
      <c r="L200" s="5" t="inlineStr">
        <is>
          <t>MS Graph mail (delivery check only)</t>
        </is>
      </c>
      <c r="M200" s="5" t="inlineStr">
        <is>
          <t>CHANGES-phase3-m6-vendor.md</t>
        </is>
      </c>
      <c r="N200" s="5" t="inlineStr">
        <is>
          <t>New</t>
        </is>
      </c>
      <c r="O200" s="5" t="inlineStr">
        <is>
          <t>Not Run</t>
        </is>
      </c>
      <c r="P200" s="5" t="inlineStr"/>
      <c r="Q200" s="5" t="inlineStr"/>
    </row>
    <row r="201">
      <c r="A201" s="5" t="inlineStr">
        <is>
          <t>VND-14</t>
        </is>
      </c>
      <c r="B201" s="5" t="inlineStr">
        <is>
          <t>Vendor</t>
        </is>
      </c>
      <c r="C201" s="5" t="inlineStr">
        <is>
          <t>Vendor isolation</t>
        </is>
      </c>
      <c r="D201" s="5" t="inlineStr">
        <is>
          <t>Vendor cannot widen scope via API</t>
        </is>
      </c>
      <c r="E201" s="5" t="inlineStr">
        <is>
          <t>Vendor A JWT</t>
        </is>
      </c>
      <c r="F201" s="5" t="inlineStr">
        <is>
          <t>1. GET /api/vendor/candidates?vendorEmail=&lt;vendor B&gt;</t>
        </is>
      </c>
      <c r="G201" s="5" t="inlineStr">
        <is>
          <t>Response still scoped to vendor A only</t>
        </is>
      </c>
      <c r="H201" s="5" t="inlineStr">
        <is>
          <t>Security</t>
        </is>
      </c>
      <c r="I201" s="5" t="inlineStr">
        <is>
          <t>P1</t>
        </is>
      </c>
      <c r="J201" s="5" t="inlineStr">
        <is>
          <t>Vendor</t>
        </is>
      </c>
      <c r="K201" s="5" t="inlineStr">
        <is>
          <t>Automated - API</t>
        </is>
      </c>
      <c r="L201" s="5" t="inlineStr"/>
      <c r="M201" s="5" t="inlineStr">
        <is>
          <t>vendorIsolation.test.js</t>
        </is>
      </c>
      <c r="N201" s="5" t="inlineStr">
        <is>
          <t>New</t>
        </is>
      </c>
      <c r="O201" s="5" t="inlineStr">
        <is>
          <t>Not Run</t>
        </is>
      </c>
      <c r="P201" s="5" t="inlineStr"/>
      <c r="Q201" s="5" t="inlineStr"/>
    </row>
    <row r="202">
      <c r="A202" s="5" t="inlineStr">
        <is>
          <t>ANL-01</t>
        </is>
      </c>
      <c r="B202" s="5" t="inlineStr">
        <is>
          <t>Recruitment Analytics</t>
        </is>
      </c>
      <c r="C202" s="5" t="inlineStr">
        <is>
          <t>Overview</t>
        </is>
      </c>
      <c r="D202" s="5" t="inlineStr">
        <is>
          <t>Page and headline tiles load</t>
        </is>
      </c>
      <c r="E202" s="5" t="inlineStr">
        <is>
          <t>Seeded data</t>
        </is>
      </c>
      <c r="F202" s="5" t="inlineStr">
        <is>
          <t>1. Open /analytics</t>
        </is>
      </c>
      <c r="G202" s="5" t="inlineStr">
        <is>
          <t>Title 'Recruitment Analytics'; note 'Headline counts below are all time'; tiles Shortlisted, Rejected, On Hold, Total, Zeko Sent, Zeko Score Received</t>
        </is>
      </c>
      <c r="H202" s="5" t="inlineStr">
        <is>
          <t>Positive</t>
        </is>
      </c>
      <c r="I202" s="5" t="inlineStr">
        <is>
          <t>P1</t>
        </is>
      </c>
      <c r="J202" s="5" t="inlineStr">
        <is>
          <t>Recruiter</t>
        </is>
      </c>
      <c r="K202" s="5" t="inlineStr">
        <is>
          <t>Automated - UI</t>
        </is>
      </c>
      <c r="L202" s="5" t="inlineStr"/>
      <c r="M202" s="5" t="inlineStr">
        <is>
          <t>Analytics.jsx</t>
        </is>
      </c>
      <c r="N202" s="5" t="inlineStr">
        <is>
          <t>New</t>
        </is>
      </c>
      <c r="O202" s="5" t="inlineStr">
        <is>
          <t>Not Run</t>
        </is>
      </c>
      <c r="P202" s="5" t="inlineStr"/>
      <c r="Q202" s="5" t="inlineStr"/>
    </row>
    <row r="203">
      <c r="A203" s="5" t="inlineStr">
        <is>
          <t>ANL-02</t>
        </is>
      </c>
      <c r="B203" s="5" t="inlineStr">
        <is>
          <t>Recruitment Analytics</t>
        </is>
      </c>
      <c r="C203" s="5" t="inlineStr">
        <is>
          <t>Role Summary</t>
        </is>
      </c>
      <c r="D203" s="5" t="inlineStr">
        <is>
          <t>Role summary adds up</t>
        </is>
      </c>
      <c r="E203" s="5" t="inlineStr">
        <is>
          <t>Roles with mixed outcomes incl. a closed candidate</t>
        </is>
      </c>
      <c r="F203" s="5" t="inlineStr">
        <is>
          <t>1. Role Summary tab
2. For each row add Shortlisted + Rejected + On Hold + Future Prospect + Closed</t>
        </is>
      </c>
      <c r="G203" s="5" t="inlineStr">
        <is>
          <t>Sum equals Total Candidates for every role (catch-all 'Closed' column)</t>
        </is>
      </c>
      <c r="H203" s="5" t="inlineStr">
        <is>
          <t>Positive</t>
        </is>
      </c>
      <c r="I203" s="5" t="inlineStr">
        <is>
          <t>P1</t>
        </is>
      </c>
      <c r="J203" s="5" t="inlineStr">
        <is>
          <t>Recruiter</t>
        </is>
      </c>
      <c r="K203" s="5" t="inlineStr">
        <is>
          <t>Automated - UI (fixture)</t>
        </is>
      </c>
      <c r="L203" s="5" t="inlineStr"/>
      <c r="M203" s="5" t="inlineStr">
        <is>
          <t>CHANGES-2026-08-26-candidate-closure-graceful-exit.md</t>
        </is>
      </c>
      <c r="N203" s="5" t="inlineStr">
        <is>
          <t>New</t>
        </is>
      </c>
      <c r="O203" s="5" t="inlineStr">
        <is>
          <t>Not Run</t>
        </is>
      </c>
      <c r="P203" s="5" t="inlineStr"/>
      <c r="Q203" s="5" t="inlineStr"/>
    </row>
    <row r="204">
      <c r="A204" s="5" t="inlineStr">
        <is>
          <t>ANL-03</t>
        </is>
      </c>
      <c r="B204" s="5" t="inlineStr">
        <is>
          <t>Recruitment Analytics</t>
        </is>
      </c>
      <c r="C204" s="5" t="inlineStr">
        <is>
          <t>Role Summary</t>
        </is>
      </c>
      <c r="D204" s="5" t="inlineStr">
        <is>
          <t>Export role summary</t>
        </is>
      </c>
      <c r="E204" s="5" t="inlineStr"/>
      <c r="F204" s="5" t="inlineStr">
        <is>
          <t>1. Role Summary &gt; Export</t>
        </is>
      </c>
      <c r="G204" s="5" t="inlineStr">
        <is>
          <t>AAPNA-ATS_Screening-Role-Summary.csv downloads, one row per role, incl. Closed column</t>
        </is>
      </c>
      <c r="H204" s="5" t="inlineStr">
        <is>
          <t>Positive</t>
        </is>
      </c>
      <c r="I204" s="5" t="inlineStr">
        <is>
          <t>P2</t>
        </is>
      </c>
      <c r="J204" s="5" t="inlineStr">
        <is>
          <t>Recruiter</t>
        </is>
      </c>
      <c r="K204" s="5" t="inlineStr">
        <is>
          <t>Automated - UI</t>
        </is>
      </c>
      <c r="L204" s="5" t="inlineStr"/>
      <c r="M204" s="5" t="inlineStr">
        <is>
          <t>Analytics.jsx</t>
        </is>
      </c>
      <c r="N204" s="5" t="inlineStr">
        <is>
          <t>New</t>
        </is>
      </c>
      <c r="O204" s="5" t="inlineStr">
        <is>
          <t>Not Run</t>
        </is>
      </c>
      <c r="P204" s="5" t="inlineStr"/>
      <c r="Q204" s="5" t="inlineStr"/>
    </row>
    <row r="205">
      <c r="A205" s="5" t="inlineStr">
        <is>
          <t>ANL-04</t>
        </is>
      </c>
      <c r="B205" s="5" t="inlineStr">
        <is>
          <t>Recruitment Analytics</t>
        </is>
      </c>
      <c r="C205" s="5" t="inlineStr">
        <is>
          <t>Pipeline Insights</t>
        </is>
      </c>
      <c r="D205" s="5" t="inlineStr">
        <is>
          <t>Hold threshold changes the tile</t>
        </is>
      </c>
      <c r="E205" s="5" t="inlineStr">
        <is>
          <t>Holds older and newer than 30 days</t>
        </is>
      </c>
      <c r="F205" s="5" t="inlineStr">
        <is>
          <t>1. Pipeline Insights tab
2. Change the hold threshold 30 &gt; 7 &gt; 90 days</t>
        </is>
      </c>
      <c r="G205" s="5" t="inlineStr">
        <is>
          <t>'Updating analytics…' overlay; 'On hold &gt; N days' label and count change accordingly</t>
        </is>
      </c>
      <c r="H205" s="5" t="inlineStr">
        <is>
          <t>Positive</t>
        </is>
      </c>
      <c r="I205" s="5" t="inlineStr">
        <is>
          <t>P2</t>
        </is>
      </c>
      <c r="J205" s="5" t="inlineStr">
        <is>
          <t>Recruiter</t>
        </is>
      </c>
      <c r="K205" s="5" t="inlineStr">
        <is>
          <t>Automated - UI (fixture)</t>
        </is>
      </c>
      <c r="L205" s="5" t="inlineStr"/>
      <c r="M205" s="5" t="inlineStr">
        <is>
          <t>Analytics.jsx</t>
        </is>
      </c>
      <c r="N205" s="5" t="inlineStr">
        <is>
          <t>New</t>
        </is>
      </c>
      <c r="O205" s="5" t="inlineStr">
        <is>
          <t>Not Run</t>
        </is>
      </c>
      <c r="P205" s="5" t="inlineStr"/>
      <c r="Q205" s="5" t="inlineStr"/>
    </row>
    <row r="206">
      <c r="A206" s="5" t="inlineStr">
        <is>
          <t>ANL-05</t>
        </is>
      </c>
      <c r="B206" s="5" t="inlineStr">
        <is>
          <t>Recruitment Analytics</t>
        </is>
      </c>
      <c r="C206" s="5" t="inlineStr">
        <is>
          <t>Pipeline Insights</t>
        </is>
      </c>
      <c r="D206" s="5" t="inlineStr">
        <is>
          <t>Stuck candidates threshold and export</t>
        </is>
      </c>
      <c r="E206" s="5" t="inlineStr"/>
      <c r="F206" s="5" t="inlineStr">
        <is>
          <t>1. Change 'Stuck candidates' threshold (5/10/14/30 days)
2. Export</t>
        </is>
      </c>
      <c r="G206" s="5" t="inlineStr">
        <is>
          <t>Heading reads 'Stuck candidates - N+ days'; table and CSV list only candidates waiting longer than N days</t>
        </is>
      </c>
      <c r="H206" s="5" t="inlineStr">
        <is>
          <t>Positive</t>
        </is>
      </c>
      <c r="I206" s="5" t="inlineStr">
        <is>
          <t>P2</t>
        </is>
      </c>
      <c r="J206" s="5" t="inlineStr">
        <is>
          <t>Recruiter</t>
        </is>
      </c>
      <c r="K206" s="5" t="inlineStr">
        <is>
          <t>Automated - UI (fixture)</t>
        </is>
      </c>
      <c r="L206" s="5" t="inlineStr"/>
      <c r="M206" s="5" t="inlineStr">
        <is>
          <t>Analytics.jsx</t>
        </is>
      </c>
      <c r="N206" s="5" t="inlineStr">
        <is>
          <t>New</t>
        </is>
      </c>
      <c r="O206" s="5" t="inlineStr">
        <is>
          <t>Not Run</t>
        </is>
      </c>
      <c r="P206" s="5" t="inlineStr"/>
      <c r="Q206" s="5" t="inlineStr"/>
    </row>
    <row r="207">
      <c r="A207" s="5" t="inlineStr">
        <is>
          <t>ANL-06</t>
        </is>
      </c>
      <c r="B207" s="5" t="inlineStr">
        <is>
          <t>Recruitment Analytics</t>
        </is>
      </c>
      <c r="C207" s="5" t="inlineStr">
        <is>
          <t>Pipeline Insights</t>
        </is>
      </c>
      <c r="D207" s="5" t="inlineStr">
        <is>
          <t>Rejection reasons window</t>
        </is>
      </c>
      <c r="E207" s="5" t="inlineStr">
        <is>
          <t>Rejections at different dates</t>
        </is>
      </c>
      <c r="F207" s="5" t="inlineStr">
        <is>
          <t>1. Change the window 7/30/90 days
2. Export</t>
        </is>
      </c>
      <c r="G207" s="5" t="inlineStr">
        <is>
          <t>Reason counts and 'Most common stage' follow the window; empty window shows 'No rejections in this window'</t>
        </is>
      </c>
      <c r="H207" s="5" t="inlineStr">
        <is>
          <t>Positive</t>
        </is>
      </c>
      <c r="I207" s="5" t="inlineStr">
        <is>
          <t>P2</t>
        </is>
      </c>
      <c r="J207" s="5" t="inlineStr">
        <is>
          <t>Recruiter</t>
        </is>
      </c>
      <c r="K207" s="5" t="inlineStr">
        <is>
          <t>Automated - UI (fixture)</t>
        </is>
      </c>
      <c r="L207" s="5" t="inlineStr"/>
      <c r="M207" s="5" t="inlineStr">
        <is>
          <t>Analytics.jsx</t>
        </is>
      </c>
      <c r="N207" s="5" t="inlineStr">
        <is>
          <t>New</t>
        </is>
      </c>
      <c r="O207" s="5" t="inlineStr">
        <is>
          <t>Not Run</t>
        </is>
      </c>
      <c r="P207" s="5" t="inlineStr"/>
      <c r="Q207" s="5" t="inlineStr"/>
    </row>
    <row r="208">
      <c r="A208" s="5" t="inlineStr">
        <is>
          <t>ANL-07</t>
        </is>
      </c>
      <c r="B208" s="5" t="inlineStr">
        <is>
          <t>Recruitment Analytics</t>
        </is>
      </c>
      <c r="C208" s="5" t="inlineStr">
        <is>
          <t>Pipeline Insights</t>
        </is>
      </c>
      <c r="D208" s="5" t="inlineStr">
        <is>
          <t>Time to hire with no hires</t>
        </is>
      </c>
      <c r="E208" s="5" t="inlineStr">
        <is>
          <t>No closed hires</t>
        </is>
      </c>
      <c r="F208" s="5" t="inlineStr">
        <is>
          <t>1. Look at 'Median days, shortlist to hire'</t>
        </is>
      </c>
      <c r="G208" s="5" t="inlineStr">
        <is>
          <t>Shows '—' (not 0 days)</t>
        </is>
      </c>
      <c r="H208" s="5" t="inlineStr">
        <is>
          <t>Negative</t>
        </is>
      </c>
      <c r="I208" s="5" t="inlineStr">
        <is>
          <t>P3</t>
        </is>
      </c>
      <c r="J208" s="5" t="inlineStr">
        <is>
          <t>Recruiter</t>
        </is>
      </c>
      <c r="K208" s="5" t="inlineStr">
        <is>
          <t>Automated - UI (fixture)</t>
        </is>
      </c>
      <c r="L208" s="5" t="inlineStr"/>
      <c r="M208" s="5" t="inlineStr">
        <is>
          <t>Analytics.jsx</t>
        </is>
      </c>
      <c r="N208" s="5" t="inlineStr">
        <is>
          <t>New</t>
        </is>
      </c>
      <c r="O208" s="5" t="inlineStr">
        <is>
          <t>Not Run</t>
        </is>
      </c>
      <c r="P208" s="5" t="inlineStr"/>
      <c r="Q208" s="5" t="inlineStr"/>
    </row>
    <row r="209">
      <c r="A209" s="5" t="inlineStr">
        <is>
          <t>ANL-08</t>
        </is>
      </c>
      <c r="B209" s="5" t="inlineStr">
        <is>
          <t>Recruitment Analytics</t>
        </is>
      </c>
      <c r="C209" s="5" t="inlineStr">
        <is>
          <t>Pipeline Insights</t>
        </is>
      </c>
      <c r="D209" s="5" t="inlineStr">
        <is>
          <t>Awaiting feedback is real</t>
        </is>
      </c>
      <c r="E209" s="5" t="inlineStr">
        <is>
          <t>Interview held with an outstanding scorecard</t>
        </is>
      </c>
      <c r="F209" s="5" t="inlineStr">
        <is>
          <t>1. Check 'Awaiting feedback'</t>
        </is>
      </c>
      <c r="G209" s="5" t="inlineStr">
        <is>
          <t>Counts outstanding scorecards (not hard-coded 0)</t>
        </is>
      </c>
      <c r="H209" s="5" t="inlineStr">
        <is>
          <t>Positive</t>
        </is>
      </c>
      <c r="I209" s="5" t="inlineStr">
        <is>
          <t>P2</t>
        </is>
      </c>
      <c r="J209" s="5" t="inlineStr">
        <is>
          <t>Recruiter</t>
        </is>
      </c>
      <c r="K209" s="5" t="inlineStr">
        <is>
          <t>Automated - UI (fixture)</t>
        </is>
      </c>
      <c r="L209" s="5" t="inlineStr"/>
      <c r="M209" s="5" t="inlineStr">
        <is>
          <t>CHANGES-2026-08-26-recruitment-analytics-metric-fixes.md</t>
        </is>
      </c>
      <c r="N209" s="5" t="inlineStr">
        <is>
          <t>New</t>
        </is>
      </c>
      <c r="O209" s="5" t="inlineStr">
        <is>
          <t>Not Run</t>
        </is>
      </c>
      <c r="P209" s="5" t="inlineStr"/>
      <c r="Q209" s="5" t="inlineStr"/>
    </row>
    <row r="210">
      <c r="A210" s="5" t="inlineStr">
        <is>
          <t>ANL-09</t>
        </is>
      </c>
      <c r="B210" s="5" t="inlineStr">
        <is>
          <t>Recruitment Analytics</t>
        </is>
      </c>
      <c r="C210" s="5" t="inlineStr">
        <is>
          <t>Pipeline Insights</t>
        </is>
      </c>
      <c r="D210" s="5" t="inlineStr">
        <is>
          <t>Vendor performance and Source of hire</t>
        </is>
      </c>
      <c r="E210" s="5" t="inlineStr">
        <is>
          <t>Vendor-sourced and screening-sourced journeys</t>
        </is>
      </c>
      <c r="F210" s="5" t="inlineStr">
        <is>
          <t>1. Review both tables
2. Export vendor performance</t>
        </is>
      </c>
      <c r="G210" s="5" t="inlineStr">
        <is>
          <t>Vendor rows show In pipeline / Hired / Rejected; Source rows show Submitted / In progress / Hired / Rejected / On Hold / Hire rate</t>
        </is>
      </c>
      <c r="H210" s="5" t="inlineStr">
        <is>
          <t>Positive</t>
        </is>
      </c>
      <c r="I210" s="5" t="inlineStr">
        <is>
          <t>P2</t>
        </is>
      </c>
      <c r="J210" s="5" t="inlineStr">
        <is>
          <t>Recruiter</t>
        </is>
      </c>
      <c r="K210" s="5" t="inlineStr">
        <is>
          <t>Automated - UI (fixture)</t>
        </is>
      </c>
      <c r="L210" s="5" t="inlineStr"/>
      <c r="M210" s="5" t="inlineStr">
        <is>
          <t>Analytics.jsx</t>
        </is>
      </c>
      <c r="N210" s="5" t="inlineStr">
        <is>
          <t>New</t>
        </is>
      </c>
      <c r="O210" s="5" t="inlineStr">
        <is>
          <t>Not Run</t>
        </is>
      </c>
      <c r="P210" s="5" t="inlineStr"/>
      <c r="Q210" s="5" t="inlineStr"/>
    </row>
    <row r="211">
      <c r="A211" s="5" t="inlineStr">
        <is>
          <t>ANL-10</t>
        </is>
      </c>
      <c r="B211" s="5" t="inlineStr">
        <is>
          <t>Recruitment Analytics</t>
        </is>
      </c>
      <c r="C211" s="5" t="inlineStr">
        <is>
          <t>Recruiter Insights</t>
        </is>
      </c>
      <c r="D211" s="5" t="inlineStr">
        <is>
          <t>Recruiter insights tab</t>
        </is>
      </c>
      <c r="E211" s="5" t="inlineStr"/>
      <c r="F211" s="5" t="inlineStr">
        <is>
          <t>1. Open Recruiter Insights</t>
        </is>
      </c>
      <c r="G211" s="5" t="inlineStr">
        <is>
          <t>Per-recruiter activity loads for the same analysis window</t>
        </is>
      </c>
      <c r="H211" s="5" t="inlineStr">
        <is>
          <t>Positive</t>
        </is>
      </c>
      <c r="I211" s="5" t="inlineStr">
        <is>
          <t>P3</t>
        </is>
      </c>
      <c r="J211" s="5" t="inlineStr">
        <is>
          <t>Recruiter</t>
        </is>
      </c>
      <c r="K211" s="5" t="inlineStr">
        <is>
          <t>Automated - UI (fixture)</t>
        </is>
      </c>
      <c r="L211" s="5" t="inlineStr"/>
      <c r="M211" s="5" t="inlineStr">
        <is>
          <t>Analytics.jsx</t>
        </is>
      </c>
      <c r="N211" s="5" t="inlineStr">
        <is>
          <t>New</t>
        </is>
      </c>
      <c r="O211" s="5" t="inlineStr">
        <is>
          <t>Not Run</t>
        </is>
      </c>
      <c r="P211" s="5" t="inlineStr"/>
      <c r="Q211" s="5" t="inlineStr"/>
    </row>
    <row r="212">
      <c r="A212" s="5" t="inlineStr">
        <is>
          <t>ANL-11</t>
        </is>
      </c>
      <c r="B212" s="5" t="inlineStr">
        <is>
          <t>Recruitment Analytics</t>
        </is>
      </c>
      <c r="C212" s="5" t="inlineStr">
        <is>
          <t>Email Delivery</t>
        </is>
      </c>
      <c r="D212" s="5" t="inlineStr">
        <is>
          <t>Email delivery monitoring</t>
        </is>
      </c>
      <c r="E212" s="5" t="inlineStr">
        <is>
          <t>Emails attempted</t>
        </is>
      </c>
      <c r="F212" s="5" t="inlineStr">
        <is>
          <t>1. Open Email Delivery
2. Click Refresh
3. Export (role-restricted)</t>
        </is>
      </c>
      <c r="G212" s="5" t="inlineStr">
        <is>
          <t>Sent/failed emails listed; export allowed for permitted roles only</t>
        </is>
      </c>
      <c r="H212" s="5" t="inlineStr">
        <is>
          <t>Positive</t>
        </is>
      </c>
      <c r="I212" s="5" t="inlineStr">
        <is>
          <t>P3</t>
        </is>
      </c>
      <c r="J212" s="5" t="inlineStr">
        <is>
          <t>Recruiter</t>
        </is>
      </c>
      <c r="K212" s="5" t="inlineStr">
        <is>
          <t>Automated - UI (fixture)</t>
        </is>
      </c>
      <c r="L212" s="5" t="inlineStr"/>
      <c r="M212" s="5" t="inlineStr">
        <is>
          <t>emailTemplate.routes.js monitoring</t>
        </is>
      </c>
      <c r="N212" s="5" t="inlineStr">
        <is>
          <t>New</t>
        </is>
      </c>
      <c r="O212" s="5" t="inlineStr">
        <is>
          <t>Not Run</t>
        </is>
      </c>
      <c r="P212" s="5" t="inlineStr"/>
      <c r="Q212" s="5" t="inlineStr"/>
    </row>
    <row r="213">
      <c r="A213" s="5" t="inlineStr">
        <is>
          <t>ANL-12</t>
        </is>
      </c>
      <c r="B213" s="5" t="inlineStr">
        <is>
          <t>Recruitment Analytics</t>
        </is>
      </c>
      <c r="C213" s="5" t="inlineStr">
        <is>
          <t>Data accuracy</t>
        </is>
      </c>
      <c r="D213" s="5" t="inlineStr">
        <is>
          <t>Counts move after a pipeline action</t>
        </is>
      </c>
      <c r="E213" s="5" t="inlineStr">
        <is>
          <t>Baseline captured</t>
        </is>
      </c>
      <c r="F213" s="5" t="inlineStr">
        <is>
          <t>1. Reject a candidate at a stage
2. Reload Analytics</t>
        </is>
      </c>
      <c r="G213" s="5" t="inlineStr">
        <is>
          <t>Rejected tile, role row and rejection-reason count each increase by exactly 1</t>
        </is>
      </c>
      <c r="H213" s="5" t="inlineStr">
        <is>
          <t>Positive</t>
        </is>
      </c>
      <c r="I213" s="5" t="inlineStr">
        <is>
          <t>P1</t>
        </is>
      </c>
      <c r="J213" s="5" t="inlineStr">
        <is>
          <t>Recruiter</t>
        </is>
      </c>
      <c r="K213" s="5" t="inlineStr">
        <is>
          <t>Automated - UI (fixture)</t>
        </is>
      </c>
      <c r="L213" s="5" t="inlineStr"/>
      <c r="M213" s="5" t="inlineStr"/>
      <c r="N213" s="5" t="inlineStr">
        <is>
          <t>New</t>
        </is>
      </c>
      <c r="O213" s="5" t="inlineStr">
        <is>
          <t>Not Run</t>
        </is>
      </c>
      <c r="P213" s="5" t="inlineStr"/>
      <c r="Q213" s="5" t="inlineStr"/>
    </row>
    <row r="214">
      <c r="A214" s="5" t="inlineStr">
        <is>
          <t>CAND-01</t>
        </is>
      </c>
      <c r="B214" s="5" t="inlineStr">
        <is>
          <t>Search Candidate</t>
        </is>
      </c>
      <c r="C214" s="5" t="inlineStr">
        <is>
          <t>List</t>
        </is>
      </c>
      <c r="D214" s="5" t="inlineStr">
        <is>
          <t>List order and no sorting</t>
        </is>
      </c>
      <c r="E214" s="5" t="inlineStr">
        <is>
          <t>Seeded candidates</t>
        </is>
      </c>
      <c r="F214" s="5" t="inlineStr">
        <is>
          <t>1. Open /candidates</t>
        </is>
      </c>
      <c r="G214" s="5" t="inlineStr">
        <is>
          <t>Newest candidate (highest id) first; no sort arrows on any column</t>
        </is>
      </c>
      <c r="H214" s="5" t="inlineStr">
        <is>
          <t>Positive</t>
        </is>
      </c>
      <c r="I214" s="5" t="inlineStr">
        <is>
          <t>P2</t>
        </is>
      </c>
      <c r="J214" s="5" t="inlineStr">
        <is>
          <t>Recruiter</t>
        </is>
      </c>
      <c r="K214" s="5" t="inlineStr">
        <is>
          <t>Automated - UI (fixture)</t>
        </is>
      </c>
      <c r="L214" s="5" t="inlineStr"/>
      <c r="M214" s="5" t="inlineStr">
        <is>
          <t>CHANGES-2026-08-17-search-candidate-filter-simplification.md</t>
        </is>
      </c>
      <c r="N214" s="5" t="inlineStr">
        <is>
          <t>New</t>
        </is>
      </c>
      <c r="O214" s="5" t="inlineStr">
        <is>
          <t>Not Run</t>
        </is>
      </c>
      <c r="P214" s="5" t="inlineStr"/>
      <c r="Q214" s="5" t="inlineStr"/>
    </row>
    <row r="215">
      <c r="A215" s="5" t="inlineStr">
        <is>
          <t>CAND-02</t>
        </is>
      </c>
      <c r="B215" s="5" t="inlineStr">
        <is>
          <t>Search Candidate</t>
        </is>
      </c>
      <c r="C215" s="5" t="inlineStr">
        <is>
          <t>Search</t>
        </is>
      </c>
      <c r="D215" s="5" t="inlineStr">
        <is>
          <t>Search by Candidate Name</t>
        </is>
      </c>
      <c r="E215" s="5" t="inlineStr"/>
      <c r="F215" s="5" t="inlineStr">
        <is>
          <t>1. Enter part of a name
2. Click Search</t>
        </is>
      </c>
      <c r="G215" s="5" t="inlineStr">
        <is>
          <t>Only matching candidates listed</t>
        </is>
      </c>
      <c r="H215" s="5" t="inlineStr">
        <is>
          <t>Positive</t>
        </is>
      </c>
      <c r="I215" s="5" t="inlineStr">
        <is>
          <t>P1</t>
        </is>
      </c>
      <c r="J215" s="5" t="inlineStr">
        <is>
          <t>Recruiter</t>
        </is>
      </c>
      <c r="K215" s="5" t="inlineStr">
        <is>
          <t>Automated - UI (fixture)</t>
        </is>
      </c>
      <c r="L215" s="5" t="inlineStr"/>
      <c r="M215" s="5" t="inlineStr">
        <is>
          <t>Candidates.jsx</t>
        </is>
      </c>
      <c r="N215" s="5" t="inlineStr">
        <is>
          <t>New</t>
        </is>
      </c>
      <c r="O215" s="5" t="inlineStr">
        <is>
          <t>Not Run</t>
        </is>
      </c>
      <c r="P215" s="5" t="inlineStr"/>
      <c r="Q215" s="5" t="inlineStr"/>
    </row>
    <row r="216">
      <c r="A216" s="5" t="inlineStr">
        <is>
          <t>CAND-03</t>
        </is>
      </c>
      <c r="B216" s="5" t="inlineStr">
        <is>
          <t>Search Candidate</t>
        </is>
      </c>
      <c r="C216" s="5" t="inlineStr">
        <is>
          <t>Search</t>
        </is>
      </c>
      <c r="D216" s="5" t="inlineStr">
        <is>
          <t>Search by Email ID</t>
        </is>
      </c>
      <c r="E216" s="5" t="inlineStr"/>
      <c r="F216" s="5" t="inlineStr">
        <is>
          <t>1. Enter an email
2. Search</t>
        </is>
      </c>
      <c r="G216" s="5" t="inlineStr">
        <is>
          <t>Matching candidate listed</t>
        </is>
      </c>
      <c r="H216" s="5" t="inlineStr">
        <is>
          <t>Positive</t>
        </is>
      </c>
      <c r="I216" s="5" t="inlineStr">
        <is>
          <t>P1</t>
        </is>
      </c>
      <c r="J216" s="5" t="inlineStr">
        <is>
          <t>Recruiter</t>
        </is>
      </c>
      <c r="K216" s="5" t="inlineStr">
        <is>
          <t>Automated - UI (fixture)</t>
        </is>
      </c>
      <c r="L216" s="5" t="inlineStr"/>
      <c r="M216" s="5" t="inlineStr">
        <is>
          <t>Candidates.jsx</t>
        </is>
      </c>
      <c r="N216" s="5" t="inlineStr">
        <is>
          <t>New</t>
        </is>
      </c>
      <c r="O216" s="5" t="inlineStr">
        <is>
          <t>Not Run</t>
        </is>
      </c>
      <c r="P216" s="5" t="inlineStr"/>
      <c r="Q216" s="5" t="inlineStr"/>
    </row>
    <row r="217">
      <c r="A217" s="5" t="inlineStr">
        <is>
          <t>CAND-04</t>
        </is>
      </c>
      <c r="B217" s="5" t="inlineStr">
        <is>
          <t>Search Candidate</t>
        </is>
      </c>
      <c r="C217" s="5" t="inlineStr">
        <is>
          <t>Search</t>
        </is>
      </c>
      <c r="D217" s="5" t="inlineStr">
        <is>
          <t>Search by Phone / Contact Number</t>
        </is>
      </c>
      <c r="E217" s="5" t="inlineStr"/>
      <c r="F217" s="5" t="inlineStr">
        <is>
          <t>1. Enter a phone number
2. Search</t>
        </is>
      </c>
      <c r="G217" s="5" t="inlineStr">
        <is>
          <t>Matching candidate listed</t>
        </is>
      </c>
      <c r="H217" s="5" t="inlineStr">
        <is>
          <t>Positive</t>
        </is>
      </c>
      <c r="I217" s="5" t="inlineStr">
        <is>
          <t>P1</t>
        </is>
      </c>
      <c r="J217" s="5" t="inlineStr">
        <is>
          <t>Recruiter</t>
        </is>
      </c>
      <c r="K217" s="5" t="inlineStr">
        <is>
          <t>Automated - UI (fixture)</t>
        </is>
      </c>
      <c r="L217" s="5" t="inlineStr"/>
      <c r="M217" s="5" t="inlineStr">
        <is>
          <t>Candidates.jsx</t>
        </is>
      </c>
      <c r="N217" s="5" t="inlineStr">
        <is>
          <t>New</t>
        </is>
      </c>
      <c r="O217" s="5" t="inlineStr">
        <is>
          <t>Not Run</t>
        </is>
      </c>
      <c r="P217" s="5" t="inlineStr"/>
      <c r="Q217" s="5" t="inlineStr"/>
    </row>
    <row r="218">
      <c r="A218" s="5" t="inlineStr">
        <is>
          <t>CAND-05</t>
        </is>
      </c>
      <c r="B218" s="5" t="inlineStr">
        <is>
          <t>Search Candidate</t>
        </is>
      </c>
      <c r="C218" s="5" t="inlineStr">
        <is>
          <t>Search</t>
        </is>
      </c>
      <c r="D218" s="5" t="inlineStr">
        <is>
          <t>Two fields combine with OR</t>
        </is>
      </c>
      <c r="E218" s="5" t="inlineStr"/>
      <c r="F218" s="5" t="inlineStr">
        <is>
          <t>1. Name of candidate X and email of candidate Y
2. Search</t>
        </is>
      </c>
      <c r="G218" s="5" t="inlineStr">
        <is>
          <t>Both X and Y returned (known OR behaviour - confirm with business)</t>
        </is>
      </c>
      <c r="H218" s="5" t="inlineStr">
        <is>
          <t>Exploratory</t>
        </is>
      </c>
      <c r="I218" s="5" t="inlineStr">
        <is>
          <t>P3</t>
        </is>
      </c>
      <c r="J218" s="5" t="inlineStr">
        <is>
          <t>Recruiter</t>
        </is>
      </c>
      <c r="K218" s="5" t="inlineStr">
        <is>
          <t>Automated - UI (fixture)</t>
        </is>
      </c>
      <c r="L218" s="5" t="inlineStr"/>
      <c r="M218" s="5" t="inlineStr">
        <is>
          <t>CHANGES-2026-08-17-search-candidate-filter-simplification.md</t>
        </is>
      </c>
      <c r="N218" s="5" t="inlineStr">
        <is>
          <t>New</t>
        </is>
      </c>
      <c r="O218" s="5" t="inlineStr">
        <is>
          <t>Not Run</t>
        </is>
      </c>
      <c r="P218" s="5" t="inlineStr"/>
      <c r="Q218" s="5" t="inlineStr"/>
    </row>
    <row r="219">
      <c r="A219" s="5" t="inlineStr">
        <is>
          <t>CAND-06</t>
        </is>
      </c>
      <c r="B219" s="5" t="inlineStr">
        <is>
          <t>Search Candidate</t>
        </is>
      </c>
      <c r="C219" s="5" t="inlineStr">
        <is>
          <t>Search</t>
        </is>
      </c>
      <c r="D219" s="5" t="inlineStr">
        <is>
          <t>Reset</t>
        </is>
      </c>
      <c r="E219" s="5" t="inlineStr"/>
      <c r="F219" s="5" t="inlineStr">
        <is>
          <t>1. Observe Reset with no filter
2. Search, then Reset</t>
        </is>
      </c>
      <c r="G219" s="5" t="inlineStr">
        <is>
          <t>Reset disabled when nothing filtered; after Reset fields clear and full list returns</t>
        </is>
      </c>
      <c r="H219" s="5" t="inlineStr">
        <is>
          <t>Positive</t>
        </is>
      </c>
      <c r="I219" s="5" t="inlineStr">
        <is>
          <t>P3</t>
        </is>
      </c>
      <c r="J219" s="5" t="inlineStr">
        <is>
          <t>Recruiter</t>
        </is>
      </c>
      <c r="K219" s="5" t="inlineStr">
        <is>
          <t>Automated - UI (fixture)</t>
        </is>
      </c>
      <c r="L219" s="5" t="inlineStr"/>
      <c r="M219" s="5" t="inlineStr">
        <is>
          <t>Candidates.jsx</t>
        </is>
      </c>
      <c r="N219" s="5" t="inlineStr">
        <is>
          <t>New</t>
        </is>
      </c>
      <c r="O219" s="5" t="inlineStr">
        <is>
          <t>Not Run</t>
        </is>
      </c>
      <c r="P219" s="5" t="inlineStr"/>
      <c r="Q219" s="5" t="inlineStr"/>
    </row>
    <row r="220">
      <c r="A220" s="5" t="inlineStr">
        <is>
          <t>CAND-07</t>
        </is>
      </c>
      <c r="B220" s="5" t="inlineStr">
        <is>
          <t>Search Candidate</t>
        </is>
      </c>
      <c r="C220" s="5" t="inlineStr">
        <is>
          <t>Details</t>
        </is>
      </c>
      <c r="D220" s="5" t="inlineStr">
        <is>
          <t>View candidate details</t>
        </is>
      </c>
      <c r="E220" s="5" t="inlineStr">
        <is>
          <t>Candidate with full profile</t>
        </is>
      </c>
      <c r="F220" s="5" t="inlineStr">
        <is>
          <t>1. Click View Details</t>
        </is>
      </c>
      <c r="G220" s="5" t="inlineStr">
        <is>
          <t>Email, Phone, Location, Experience (non-zero for CVs with history), Current Company, Notice Period, Expected CTC, Education shown</t>
        </is>
      </c>
      <c r="H220" s="5" t="inlineStr">
        <is>
          <t>Positive</t>
        </is>
      </c>
      <c r="I220" s="5" t="inlineStr">
        <is>
          <t>P1</t>
        </is>
      </c>
      <c r="J220" s="5" t="inlineStr">
        <is>
          <t>Recruiter</t>
        </is>
      </c>
      <c r="K220" s="5" t="inlineStr">
        <is>
          <t>Automated - UI (fixture)</t>
        </is>
      </c>
      <c r="L220" s="5" t="inlineStr"/>
      <c r="M220" s="5" t="inlineStr">
        <is>
          <t>CandidateDetail.jsx</t>
        </is>
      </c>
      <c r="N220" s="5" t="inlineStr">
        <is>
          <t>New</t>
        </is>
      </c>
      <c r="O220" s="5" t="inlineStr">
        <is>
          <t>Not Run</t>
        </is>
      </c>
      <c r="P220" s="5" t="inlineStr"/>
      <c r="Q220" s="5" t="inlineStr"/>
    </row>
    <row r="221">
      <c r="A221" s="5" t="inlineStr">
        <is>
          <t>CAND-08</t>
        </is>
      </c>
      <c r="B221" s="5" t="inlineStr">
        <is>
          <t>Search Candidate</t>
        </is>
      </c>
      <c r="C221" s="5" t="inlineStr">
        <is>
          <t>Edit</t>
        </is>
      </c>
      <c r="D221" s="5" t="inlineStr">
        <is>
          <t>Edit candidate</t>
        </is>
      </c>
      <c r="E221" s="5" t="inlineStr"/>
      <c r="F221" s="5" t="inlineStr">
        <is>
          <t>1. Edit
2. Change Total Experience to '5.50' and Current Location
3. Save</t>
        </is>
      </c>
      <c r="G221" s="5" t="inlineStr">
        <is>
          <t>'Candidate details updated successfully.'; values persist after reload</t>
        </is>
      </c>
      <c r="H221" s="5" t="inlineStr">
        <is>
          <t>Positive</t>
        </is>
      </c>
      <c r="I221" s="5" t="inlineStr">
        <is>
          <t>P1</t>
        </is>
      </c>
      <c r="J221" s="5" t="inlineStr">
        <is>
          <t>Recruiter</t>
        </is>
      </c>
      <c r="K221" s="5" t="inlineStr">
        <is>
          <t>Automated - UI (fixture)</t>
        </is>
      </c>
      <c r="L221" s="5" t="inlineStr"/>
      <c r="M221" s="5" t="inlineStr">
        <is>
          <t>Candidates.jsx</t>
        </is>
      </c>
      <c r="N221" s="5" t="inlineStr">
        <is>
          <t>New</t>
        </is>
      </c>
      <c r="O221" s="5" t="inlineStr">
        <is>
          <t>Not Run</t>
        </is>
      </c>
      <c r="P221" s="5" t="inlineStr"/>
      <c r="Q221" s="5" t="inlineStr"/>
    </row>
    <row r="222">
      <c r="A222" s="5" t="inlineStr">
        <is>
          <t>CAND-09</t>
        </is>
      </c>
      <c r="B222" s="5" t="inlineStr">
        <is>
          <t>Search Candidate</t>
        </is>
      </c>
      <c r="C222" s="5" t="inlineStr">
        <is>
          <t>Edit</t>
        </is>
      </c>
      <c r="D222" s="5" t="inlineStr">
        <is>
          <t>Invalid experience value</t>
        </is>
      </c>
      <c r="E222" s="5" t="inlineStr"/>
      <c r="F222" s="5" t="inlineStr">
        <is>
          <t>1. Enter 'abc' or a negative value in experience
2. Save</t>
        </is>
      </c>
      <c r="G222" s="5" t="inlineStr">
        <is>
          <t>Field validation error; not saved</t>
        </is>
      </c>
      <c r="H222" s="5" t="inlineStr">
        <is>
          <t>Negative</t>
        </is>
      </c>
      <c r="I222" s="5" t="inlineStr">
        <is>
          <t>P2</t>
        </is>
      </c>
      <c r="J222" s="5" t="inlineStr">
        <is>
          <t>Recruiter</t>
        </is>
      </c>
      <c r="K222" s="5" t="inlineStr">
        <is>
          <t>Automated - UI (fixture)</t>
        </is>
      </c>
      <c r="L222" s="5" t="inlineStr"/>
      <c r="M222" s="5" t="inlineStr">
        <is>
          <t>Candidates.jsx</t>
        </is>
      </c>
      <c r="N222" s="5" t="inlineStr">
        <is>
          <t>New</t>
        </is>
      </c>
      <c r="O222" s="5" t="inlineStr">
        <is>
          <t>Not Run</t>
        </is>
      </c>
      <c r="P222" s="5" t="inlineStr"/>
      <c r="Q222" s="5" t="inlineStr"/>
    </row>
    <row r="223">
      <c r="A223" s="5" t="inlineStr">
        <is>
          <t>CAND-10</t>
        </is>
      </c>
      <c r="B223" s="5" t="inlineStr">
        <is>
          <t>Search Candidate</t>
        </is>
      </c>
      <c r="C223" s="5" t="inlineStr">
        <is>
          <t>Export</t>
        </is>
      </c>
      <c r="D223" s="5" t="inlineStr">
        <is>
          <t>Export candidates CSV</t>
        </is>
      </c>
      <c r="E223" s="5" t="inlineStr"/>
      <c r="F223" s="5" t="inlineStr">
        <is>
          <t>1. Search
2. Export</t>
        </is>
      </c>
      <c r="G223" s="5" t="inlineStr">
        <is>
          <t>CSV downloads with the filtered rows</t>
        </is>
      </c>
      <c r="H223" s="5" t="inlineStr">
        <is>
          <t>Positive</t>
        </is>
      </c>
      <c r="I223" s="5" t="inlineStr">
        <is>
          <t>P2</t>
        </is>
      </c>
      <c r="J223" s="5" t="inlineStr">
        <is>
          <t>Recruiter</t>
        </is>
      </c>
      <c r="K223" s="5" t="inlineStr">
        <is>
          <t>Automated - UI (fixture)</t>
        </is>
      </c>
      <c r="L223" s="5" t="inlineStr"/>
      <c r="M223" s="5" t="inlineStr">
        <is>
          <t>candidate.routes.js export</t>
        </is>
      </c>
      <c r="N223" s="5" t="inlineStr">
        <is>
          <t>New</t>
        </is>
      </c>
      <c r="O223" s="5" t="inlineStr">
        <is>
          <t>Not Run</t>
        </is>
      </c>
      <c r="P223" s="5" t="inlineStr"/>
      <c r="Q223" s="5" t="inlineStr"/>
    </row>
    <row r="224">
      <c r="A224" s="5" t="inlineStr">
        <is>
          <t>CAND-11</t>
        </is>
      </c>
      <c r="B224" s="5" t="inlineStr">
        <is>
          <t>Search Candidate</t>
        </is>
      </c>
      <c r="C224" s="5" t="inlineStr">
        <is>
          <t>Referral</t>
        </is>
      </c>
      <c r="D224" s="5" t="inlineStr">
        <is>
          <t>Mark a candidate as referral</t>
        </is>
      </c>
      <c r="E224" s="5" t="inlineStr"/>
      <c r="F224" s="5" t="inlineStr">
        <is>
          <t>1. Edit candidate
2. Mark as referral; 'Referred by' via autocomplete
3. Save</t>
        </is>
      </c>
      <c r="G224" s="5" t="inlineStr">
        <is>
          <t>Referral tag visible to recruiter/admin; event in referral audit log</t>
        </is>
      </c>
      <c r="H224" s="5" t="inlineStr">
        <is>
          <t>Positive</t>
        </is>
      </c>
      <c r="I224" s="5" t="inlineStr">
        <is>
          <t>P2</t>
        </is>
      </c>
      <c r="J224" s="5" t="inlineStr">
        <is>
          <t>Recruiter</t>
        </is>
      </c>
      <c r="K224" s="5" t="inlineStr">
        <is>
          <t>Automated - UI (fixture)</t>
        </is>
      </c>
      <c r="L224" s="5" t="inlineStr"/>
      <c r="M224" s="5" t="inlineStr">
        <is>
          <t>CHANGES-phase3-referral-candidate.md</t>
        </is>
      </c>
      <c r="N224" s="5" t="inlineStr">
        <is>
          <t>New</t>
        </is>
      </c>
      <c r="O224" s="5" t="inlineStr">
        <is>
          <t>Not Run</t>
        </is>
      </c>
      <c r="P224" s="5" t="inlineStr"/>
      <c r="Q224" s="5" t="inlineStr"/>
    </row>
    <row r="225">
      <c r="A225" s="5" t="inlineStr">
        <is>
          <t>CAND-12</t>
        </is>
      </c>
      <c r="B225" s="5" t="inlineStr">
        <is>
          <t>Search Candidate</t>
        </is>
      </c>
      <c r="C225" s="5" t="inlineStr">
        <is>
          <t>Referral</t>
        </is>
      </c>
      <c r="D225" s="5" t="inlineStr">
        <is>
          <t>Only admin can remove a referral</t>
        </is>
      </c>
      <c r="E225" s="5" t="inlineStr">
        <is>
          <t>Referral set</t>
        </is>
      </c>
      <c r="F225" s="5" t="inlineStr">
        <is>
          <t>1. As recruiter, look for remove
2. As admin, remove with a reason</t>
        </is>
      </c>
      <c r="G225" s="5" t="inlineStr">
        <is>
          <t>Recruiter cannot remove (API 403); admin removal needs a typed reason and is audited</t>
        </is>
      </c>
      <c r="H225" s="5" t="inlineStr">
        <is>
          <t>Security</t>
        </is>
      </c>
      <c r="I225" s="5" t="inlineStr">
        <is>
          <t>P2</t>
        </is>
      </c>
      <c r="J225" s="5" t="inlineStr">
        <is>
          <t>Recruiter / Admin</t>
        </is>
      </c>
      <c r="K225" s="5" t="inlineStr">
        <is>
          <t>Automated - UI (fixture)</t>
        </is>
      </c>
      <c r="L225" s="5" t="inlineStr"/>
      <c r="M225" s="5" t="inlineStr">
        <is>
          <t>candidate.routes.js</t>
        </is>
      </c>
      <c r="N225" s="5" t="inlineStr">
        <is>
          <t>New</t>
        </is>
      </c>
      <c r="O225" s="5" t="inlineStr">
        <is>
          <t>Not Run</t>
        </is>
      </c>
      <c r="P225" s="5" t="inlineStr"/>
      <c r="Q225" s="5" t="inlineStr"/>
    </row>
    <row r="226">
      <c r="A226" s="5" t="inlineStr">
        <is>
          <t>CAND-13</t>
        </is>
      </c>
      <c r="B226" s="5" t="inlineStr">
        <is>
          <t>Search Candidate</t>
        </is>
      </c>
      <c r="C226" s="5" t="inlineStr">
        <is>
          <t>Referral</t>
        </is>
      </c>
      <c r="D226" s="5" t="inlineStr">
        <is>
          <t>Referral never leaks to public pages</t>
        </is>
      </c>
      <c r="E226" s="5" t="inlineStr">
        <is>
          <t>Referral candidate with a scorecard link</t>
        </is>
      </c>
      <c r="F226" s="5" t="inlineStr">
        <is>
          <t>1. Open the public scorecard / document page for that candidate
2. Search the page and API responses for 'referr'</t>
        </is>
      </c>
      <c r="G226" s="5" t="inlineStr">
        <is>
          <t>No match anywhere on unauthenticated pages/responses</t>
        </is>
      </c>
      <c r="H226" s="5" t="inlineStr">
        <is>
          <t>Security</t>
        </is>
      </c>
      <c r="I226" s="5" t="inlineStr">
        <is>
          <t>P1</t>
        </is>
      </c>
      <c r="J226" s="5" t="inlineStr">
        <is>
          <t>Interviewer (public)</t>
        </is>
      </c>
      <c r="K226" s="5" t="inlineStr">
        <is>
          <t>Automated - UI (fixture)</t>
        </is>
      </c>
      <c r="L226" s="5" t="inlineStr"/>
      <c r="M226" s="5" t="inlineStr">
        <is>
          <t>CHANGES-phase3-referral-candidate.md</t>
        </is>
      </c>
      <c r="N226" s="5" t="inlineStr">
        <is>
          <t>New</t>
        </is>
      </c>
      <c r="O226" s="5" t="inlineStr">
        <is>
          <t>Not Run</t>
        </is>
      </c>
      <c r="P226" s="5" t="inlineStr"/>
      <c r="Q226" s="5" t="inlineStr"/>
    </row>
    <row r="227">
      <c r="A227" s="5" t="inlineStr">
        <is>
          <t>CAND-14</t>
        </is>
      </c>
      <c r="B227" s="5" t="inlineStr">
        <is>
          <t>Search Candidate</t>
        </is>
      </c>
      <c r="C227" s="5" t="inlineStr">
        <is>
          <t>Emails</t>
        </is>
      </c>
      <c r="D227" s="5" t="inlineStr">
        <is>
          <t>Candidate email conversations</t>
        </is>
      </c>
      <c r="E227" s="5" t="inlineStr">
        <is>
          <t>Candidate with Outlook history</t>
        </is>
      </c>
      <c r="F227" s="5" t="inlineStr">
        <is>
          <t>1. Open the candidate's email conversations</t>
        </is>
      </c>
      <c r="G227" s="5" t="inlineStr">
        <is>
          <t>Thread list loads; replying sends via the recruitment mailbox</t>
        </is>
      </c>
      <c r="H227" s="5" t="inlineStr">
        <is>
          <t>Positive</t>
        </is>
      </c>
      <c r="I227" s="5" t="inlineStr">
        <is>
          <t>P3</t>
        </is>
      </c>
      <c r="J227" s="5" t="inlineStr">
        <is>
          <t>Recruiter</t>
        </is>
      </c>
      <c r="K227" s="5" t="inlineStr">
        <is>
          <t>Manual - External</t>
        </is>
      </c>
      <c r="L227" s="5" t="inlineStr">
        <is>
          <t>MS Graph mail</t>
        </is>
      </c>
      <c r="M227" s="5" t="inlineStr">
        <is>
          <t>candidate.routes.js emails</t>
        </is>
      </c>
      <c r="N227" s="5" t="inlineStr">
        <is>
          <t>New</t>
        </is>
      </c>
      <c r="O227" s="5" t="inlineStr">
        <is>
          <t>Not Run</t>
        </is>
      </c>
      <c r="P227" s="5" t="inlineStr"/>
      <c r="Q227" s="5" t="inlineStr"/>
    </row>
    <row r="228">
      <c r="A228" s="5" t="inlineStr">
        <is>
          <t>CAND-15</t>
        </is>
      </c>
      <c r="B228" s="5" t="inlineStr">
        <is>
          <t>Search Candidate</t>
        </is>
      </c>
      <c r="C228" s="5" t="inlineStr">
        <is>
          <t>Dossier</t>
        </is>
      </c>
      <c r="D228" s="5" t="inlineStr">
        <is>
          <t>Download complete candidate dossier</t>
        </is>
      </c>
      <c r="E228" s="5" t="inlineStr">
        <is>
          <t>Candidate with resume and documents</t>
        </is>
      </c>
      <c r="F228" s="5" t="inlineStr">
        <is>
          <t>1. Open the dossier download
2. Download</t>
        </is>
      </c>
      <c r="G228" s="5" t="inlineStr">
        <is>
          <t>Pack contains the redacted profile and attachments</t>
        </is>
      </c>
      <c r="H228" s="5" t="inlineStr">
        <is>
          <t>Positive</t>
        </is>
      </c>
      <c r="I228" s="5" t="inlineStr">
        <is>
          <t>P3</t>
        </is>
      </c>
      <c r="J228" s="5" t="inlineStr">
        <is>
          <t>Recruiter</t>
        </is>
      </c>
      <c r="K228" s="5" t="inlineStr">
        <is>
          <t>Manual - External</t>
        </is>
      </c>
      <c r="L228" s="5" t="inlineStr">
        <is>
          <t>MS Graph OneDrive</t>
        </is>
      </c>
      <c r="M228" s="5" t="inlineStr">
        <is>
          <t>DossierDownloadModal.jsx</t>
        </is>
      </c>
      <c r="N228" s="5" t="inlineStr">
        <is>
          <t>New</t>
        </is>
      </c>
      <c r="O228" s="5" t="inlineStr">
        <is>
          <t>Not Run</t>
        </is>
      </c>
      <c r="P228" s="5" t="inlineStr"/>
      <c r="Q228" s="5" t="inlineStr"/>
    </row>
    <row r="229">
      <c r="A229" s="5" t="inlineStr">
        <is>
          <t>HRU-10</t>
        </is>
      </c>
      <c r="B229" s="5" t="inlineStr">
        <is>
          <t>HR Manual Upload</t>
        </is>
      </c>
      <c r="C229" s="5" t="inlineStr">
        <is>
          <t>Upload</t>
        </is>
      </c>
      <c r="D229" s="5" t="inlineStr">
        <is>
          <t>Unsupported file type</t>
        </is>
      </c>
      <c r="E229" s="5" t="inlineStr"/>
      <c r="F229" s="5" t="inlineStr">
        <is>
          <t>1. Upload a .txt or .exe on /hr-upload</t>
        </is>
      </c>
      <c r="G229" s="5" t="inlineStr">
        <is>
          <t>File refused (accepted: .zip, .pdf, .docx, .xlsx); no job created</t>
        </is>
      </c>
      <c r="H229" s="5" t="inlineStr">
        <is>
          <t>Negative</t>
        </is>
      </c>
      <c r="I229" s="5" t="inlineStr">
        <is>
          <t>P2</t>
        </is>
      </c>
      <c r="J229" s="5" t="inlineStr">
        <is>
          <t>Recruiter</t>
        </is>
      </c>
      <c r="K229" s="5" t="inlineStr">
        <is>
          <t>Automated - UI</t>
        </is>
      </c>
      <c r="L229" s="5" t="inlineStr"/>
      <c r="M229" s="5" t="inlineStr">
        <is>
          <t>HRUpload.jsx</t>
        </is>
      </c>
      <c r="N229" s="5" t="inlineStr">
        <is>
          <t>New</t>
        </is>
      </c>
      <c r="O229" s="5" t="inlineStr">
        <is>
          <t>Not Run</t>
        </is>
      </c>
      <c r="P229" s="5" t="inlineStr"/>
      <c r="Q229" s="5" t="inlineStr"/>
    </row>
    <row r="230">
      <c r="A230" s="5" t="inlineStr">
        <is>
          <t>HRU-11</t>
        </is>
      </c>
      <c r="B230" s="5" t="inlineStr">
        <is>
          <t>HR Manual Upload</t>
        </is>
      </c>
      <c r="C230" s="5" t="inlineStr">
        <is>
          <t>Upload Status</t>
        </is>
      </c>
      <c r="D230" s="5" t="inlineStr">
        <is>
          <t>Status KPIs and refresh</t>
        </is>
      </c>
      <c r="E230" s="5" t="inlineStr">
        <is>
          <t>Upload jobs in several states (fixture)</t>
        </is>
      </c>
      <c r="F230" s="5" t="inlineStr">
        <is>
          <t>1. Observe Total Uploads / Processing / Saved to Database / Pending Review
2. Click Refresh</t>
        </is>
      </c>
      <c r="G230" s="5" t="inlineStr">
        <is>
          <t>Counts match the table rows</t>
        </is>
      </c>
      <c r="H230" s="5" t="inlineStr">
        <is>
          <t>Positive</t>
        </is>
      </c>
      <c r="I230" s="5" t="inlineStr">
        <is>
          <t>P3</t>
        </is>
      </c>
      <c r="J230" s="5" t="inlineStr">
        <is>
          <t>Recruiter</t>
        </is>
      </c>
      <c r="K230" s="5" t="inlineStr">
        <is>
          <t>Automated - UI (fixture)</t>
        </is>
      </c>
      <c r="L230" s="5" t="inlineStr"/>
      <c r="M230" s="5" t="inlineStr">
        <is>
          <t>HRUpload.jsx</t>
        </is>
      </c>
      <c r="N230" s="5" t="inlineStr">
        <is>
          <t>New</t>
        </is>
      </c>
      <c r="O230" s="5" t="inlineStr">
        <is>
          <t>Not Run</t>
        </is>
      </c>
      <c r="P230" s="5" t="inlineStr"/>
      <c r="Q230" s="5" t="inlineStr"/>
    </row>
    <row r="231">
      <c r="A231" s="5" t="inlineStr">
        <is>
          <t>HRU-12</t>
        </is>
      </c>
      <c r="B231" s="5" t="inlineStr">
        <is>
          <t>HR Manual Upload</t>
        </is>
      </c>
      <c r="C231" s="5" t="inlineStr">
        <is>
          <t>Upload Status</t>
        </is>
      </c>
      <c r="D231" s="5" t="inlineStr">
        <is>
          <t>Duplicate review full details</t>
        </is>
      </c>
      <c r="E231" s="5" t="inlineStr">
        <is>
          <t>A Duplicate_Pending_Review job (fixture)</t>
        </is>
      </c>
      <c r="F231" s="5" t="inlineStr">
        <is>
          <t>1. Click Review on the duplicate</t>
        </is>
      </c>
      <c r="G231" s="5" t="inlineStr">
        <is>
          <t>'Duplicate Review' shows Candidate, Email, File, Uploaded By; full details modal shows profile fields side by side</t>
        </is>
      </c>
      <c r="H231" s="5" t="inlineStr">
        <is>
          <t>Positive</t>
        </is>
      </c>
      <c r="I231" s="5" t="inlineStr">
        <is>
          <t>P2</t>
        </is>
      </c>
      <c r="J231" s="5" t="inlineStr">
        <is>
          <t>Recruiter</t>
        </is>
      </c>
      <c r="K231" s="5" t="inlineStr">
        <is>
          <t>Automated - UI (fixture)</t>
        </is>
      </c>
      <c r="L231" s="5" t="inlineStr"/>
      <c r="M231" s="5" t="inlineStr">
        <is>
          <t>HRUpload.jsx</t>
        </is>
      </c>
      <c r="N231" s="5" t="inlineStr">
        <is>
          <t>New</t>
        </is>
      </c>
      <c r="O231" s="5" t="inlineStr">
        <is>
          <t>Not Run</t>
        </is>
      </c>
      <c r="P231" s="5" t="inlineStr"/>
      <c r="Q231" s="5" t="inlineStr"/>
    </row>
    <row r="232">
      <c r="A232" s="5" t="inlineStr">
        <is>
          <t>PIPE-01</t>
        </is>
      </c>
      <c r="B232" s="5" t="inlineStr">
        <is>
          <t>Candidate Pipeline</t>
        </is>
      </c>
      <c r="C232" s="5" t="inlineStr">
        <is>
          <t>Board</t>
        </is>
      </c>
      <c r="D232" s="5" t="inlineStr">
        <is>
          <t>Board columns follow configuration</t>
        </is>
      </c>
      <c r="E232" s="5" t="inlineStr">
        <is>
          <t>Default stages seeded</t>
        </is>
      </c>
      <c r="F232" s="5" t="inlineStr">
        <is>
          <t>1. Open /pipeline</t>
        </is>
      </c>
      <c r="G232" s="5" t="inlineStr">
        <is>
          <t>Columns in configured order; inactive 'Shortlisted' stage hidden; cards show candidate, role and status</t>
        </is>
      </c>
      <c r="H232" s="5" t="inlineStr">
        <is>
          <t>Positive</t>
        </is>
      </c>
      <c r="I232" s="5" t="inlineStr">
        <is>
          <t>P1</t>
        </is>
      </c>
      <c r="J232" s="5" t="inlineStr">
        <is>
          <t>Recruiter</t>
        </is>
      </c>
      <c r="K232" s="5" t="inlineStr">
        <is>
          <t>Automated - UI (fixture)</t>
        </is>
      </c>
      <c r="L232" s="5" t="inlineStr"/>
      <c r="M232" s="5" t="inlineStr">
        <is>
          <t>Pipeline.jsx</t>
        </is>
      </c>
      <c r="N232" s="5" t="inlineStr">
        <is>
          <t>New</t>
        </is>
      </c>
      <c r="O232" s="5" t="inlineStr">
        <is>
          <t>Not Run</t>
        </is>
      </c>
      <c r="P232" s="5" t="inlineStr"/>
      <c r="Q232" s="5" t="inlineStr"/>
    </row>
    <row r="233">
      <c r="A233" s="5" t="inlineStr">
        <is>
          <t>PIPE-02</t>
        </is>
      </c>
      <c r="B233" s="5" t="inlineStr">
        <is>
          <t>Candidate Pipeline</t>
        </is>
      </c>
      <c r="C233" s="5" t="inlineStr">
        <is>
          <t>Board</t>
        </is>
      </c>
      <c r="D233" s="5" t="inlineStr">
        <is>
          <t>Deep link opens the drawer</t>
        </is>
      </c>
      <c r="E233" s="5" t="inlineStr">
        <is>
          <t>Journey exists</t>
        </is>
      </c>
      <c r="F233" s="5" t="inlineStr">
        <is>
          <t>1. Open a card
2. Copy URL (?candidate=...) and reload</t>
        </is>
      </c>
      <c r="G233" s="5" t="inlineStr">
        <is>
          <t>Drawer reopens on the same candidate</t>
        </is>
      </c>
      <c r="H233" s="5" t="inlineStr">
        <is>
          <t>Positive</t>
        </is>
      </c>
      <c r="I233" s="5" t="inlineStr">
        <is>
          <t>P3</t>
        </is>
      </c>
      <c r="J233" s="5" t="inlineStr">
        <is>
          <t>Recruiter</t>
        </is>
      </c>
      <c r="K233" s="5" t="inlineStr">
        <is>
          <t>Automated - UI (fixture)</t>
        </is>
      </c>
      <c r="L233" s="5" t="inlineStr"/>
      <c r="M233" s="5" t="inlineStr">
        <is>
          <t>PipelineDrawer.jsx</t>
        </is>
      </c>
      <c r="N233" s="5" t="inlineStr">
        <is>
          <t>New</t>
        </is>
      </c>
      <c r="O233" s="5" t="inlineStr">
        <is>
          <t>Not Run</t>
        </is>
      </c>
      <c r="P233" s="5" t="inlineStr"/>
      <c r="Q233" s="5" t="inlineStr"/>
    </row>
    <row r="234">
      <c r="A234" s="5" t="inlineStr">
        <is>
          <t>PIPE-03</t>
        </is>
      </c>
      <c r="B234" s="5" t="inlineStr">
        <is>
          <t>Candidate Pipeline</t>
        </is>
      </c>
      <c r="C234" s="5" t="inlineStr">
        <is>
          <t>Pause</t>
        </is>
      </c>
      <c r="D234" s="5" t="inlineStr">
        <is>
          <t>Pause and resume a journey</t>
        </is>
      </c>
      <c r="E234" s="5" t="inlineStr">
        <is>
          <t>Open journey</t>
        </is>
      </c>
      <c r="F234" s="5" t="inlineStr">
        <is>
          <t>1. Drawer &gt; 'Pause journey'
2. Check the card
3. 'Resume journey'</t>
        </is>
      </c>
      <c r="G234" s="5" t="inlineStr">
        <is>
          <t>Orange 'Paused' tag on the card while paused; no closure, no email; tag removed on resume</t>
        </is>
      </c>
      <c r="H234" s="5" t="inlineStr">
        <is>
          <t>Positive</t>
        </is>
      </c>
      <c r="I234" s="5" t="inlineStr">
        <is>
          <t>P2</t>
        </is>
      </c>
      <c r="J234" s="5" t="inlineStr">
        <is>
          <t>Recruiter</t>
        </is>
      </c>
      <c r="K234" s="5" t="inlineStr">
        <is>
          <t>Automated - UI (fixture)</t>
        </is>
      </c>
      <c r="L234" s="5" t="inlineStr"/>
      <c r="M234" s="5" t="inlineStr">
        <is>
          <t>CHANGES-2026-08-26-closure-followon-mrf-lifecycle.md</t>
        </is>
      </c>
      <c r="N234" s="5" t="inlineStr">
        <is>
          <t>New</t>
        </is>
      </c>
      <c r="O234" s="5" t="inlineStr">
        <is>
          <t>Not Run</t>
        </is>
      </c>
      <c r="P234" s="5" t="inlineStr"/>
      <c r="Q234" s="5" t="inlineStr"/>
    </row>
    <row r="235">
      <c r="A235" s="5" t="inlineStr">
        <is>
          <t>PIPE-04</t>
        </is>
      </c>
      <c r="B235" s="5" t="inlineStr">
        <is>
          <t>Candidate Pipeline</t>
        </is>
      </c>
      <c r="C235" s="5" t="inlineStr">
        <is>
          <t>Closure</t>
        </is>
      </c>
      <c r="D235" s="5" t="inlineStr">
        <is>
          <t>Close modal requires a final status</t>
        </is>
      </c>
      <c r="E235" s="5" t="inlineStr">
        <is>
          <t>Open journey at any stage</t>
        </is>
      </c>
      <c r="F235" s="5" t="inlineStr">
        <is>
          <t>1. 'Close this candidate's record'
2. Do not pick a status</t>
        </is>
      </c>
      <c r="G235" s="5" t="inlineStr">
        <is>
          <t>'Close the record' disabled; alert: 'Whether the candidate is emailed depends on the status you pick.'</t>
        </is>
      </c>
      <c r="H235" s="5" t="inlineStr">
        <is>
          <t>Negative</t>
        </is>
      </c>
      <c r="I235" s="5" t="inlineStr">
        <is>
          <t>P2</t>
        </is>
      </c>
      <c r="J235" s="5" t="inlineStr">
        <is>
          <t>Recruiter</t>
        </is>
      </c>
      <c r="K235" s="5" t="inlineStr">
        <is>
          <t>Automated - UI (fixture)</t>
        </is>
      </c>
      <c r="L235" s="5" t="inlineStr"/>
      <c r="M235" s="5" t="inlineStr">
        <is>
          <t>PipelineDrawer.jsx</t>
        </is>
      </c>
      <c r="N235" s="5" t="inlineStr">
        <is>
          <t>New</t>
        </is>
      </c>
      <c r="O235" s="5" t="inlineStr">
        <is>
          <t>Not Run</t>
        </is>
      </c>
      <c r="P235" s="5" t="inlineStr"/>
      <c r="Q235" s="5" t="inlineStr"/>
    </row>
    <row r="236">
      <c r="A236" s="5" t="inlineStr">
        <is>
          <t>PIPE-05</t>
        </is>
      </c>
      <c r="B236" s="5" t="inlineStr">
        <is>
          <t>Candidate Pipeline</t>
        </is>
      </c>
      <c r="C236" s="5" t="inlineStr">
        <is>
          <t>Closure</t>
        </is>
      </c>
      <c r="D236" s="5" t="inlineStr">
        <is>
          <t>Email notice per closure outcome</t>
        </is>
      </c>
      <c r="E236" s="5" t="inlineStr"/>
      <c r="F236" s="5" t="inlineStr">
        <is>
          <t>1. Pick each of the 8 final statuses in turn</t>
        </is>
      </c>
      <c r="G236" s="5" t="inlineStr">
        <is>
          <t>Joined / Candidate Withdrawn / Did Not Join / Backed Out / Joined and Left: 'does not email the candidate'. Approved / Rejected / On Hold: 'emails the candidate automatically'</t>
        </is>
      </c>
      <c r="H236" s="5" t="inlineStr">
        <is>
          <t>Positive</t>
        </is>
      </c>
      <c r="I236" s="5" t="inlineStr">
        <is>
          <t>P2</t>
        </is>
      </c>
      <c r="J236" s="5" t="inlineStr">
        <is>
          <t>Recruiter</t>
        </is>
      </c>
      <c r="K236" s="5" t="inlineStr">
        <is>
          <t>Automated - UI (fixture)</t>
        </is>
      </c>
      <c r="L236" s="5" t="inlineStr"/>
      <c r="M236" s="5" t="inlineStr">
        <is>
          <t>PipelineDrawer.jsx</t>
        </is>
      </c>
      <c r="N236" s="5" t="inlineStr">
        <is>
          <t>New</t>
        </is>
      </c>
      <c r="O236" s="5" t="inlineStr">
        <is>
          <t>Not Run</t>
        </is>
      </c>
      <c r="P236" s="5" t="inlineStr"/>
      <c r="Q236" s="5" t="inlineStr"/>
    </row>
    <row r="237">
      <c r="A237" s="5" t="inlineStr">
        <is>
          <t>PIPE-06</t>
        </is>
      </c>
      <c r="B237" s="5" t="inlineStr">
        <is>
          <t>Candidate Pipeline</t>
        </is>
      </c>
      <c r="C237" s="5" t="inlineStr">
        <is>
          <t>Closure</t>
        </is>
      </c>
      <c r="D237" s="5" t="inlineStr">
        <is>
          <t>Withdraw a candidate from a non-Offer stage</t>
        </is>
      </c>
      <c r="E237" s="5" t="inlineStr">
        <is>
          <t>Journey at Technical Round 2 with a future interview booked</t>
        </is>
      </c>
      <c r="F237" s="5" t="inlineStr">
        <is>
          <t>1. Close as 'Candidate Withdrawn'</t>
        </is>
      </c>
      <c r="G237" s="5" t="inlineStr">
        <is>
          <t>Card leaves board; drawer closes; future booking cancelled (panel notified, candidate not); pipeline_status = withdrawn; candidate can be re-shortlisted (no cooling-off)</t>
        </is>
      </c>
      <c r="H237" s="5" t="inlineStr">
        <is>
          <t>Positive</t>
        </is>
      </c>
      <c r="I237" s="5" t="inlineStr">
        <is>
          <t>P1</t>
        </is>
      </c>
      <c r="J237" s="5" t="inlineStr">
        <is>
          <t>Recruiter</t>
        </is>
      </c>
      <c r="K237" s="5" t="inlineStr">
        <is>
          <t>Automated - UI (fixture)</t>
        </is>
      </c>
      <c r="L237" s="5" t="inlineStr"/>
      <c r="M237" s="5" t="inlineStr">
        <is>
          <t>CHANGES-2026-08-26-candidate-closure-graceful-exit.md</t>
        </is>
      </c>
      <c r="N237" s="5" t="inlineStr">
        <is>
          <t>New</t>
        </is>
      </c>
      <c r="O237" s="5" t="inlineStr">
        <is>
          <t>Not Run</t>
        </is>
      </c>
      <c r="P237" s="5" t="inlineStr"/>
      <c r="Q237" s="5" t="inlineStr"/>
    </row>
    <row r="238">
      <c r="A238" s="5" t="inlineStr">
        <is>
          <t>PIPE-07</t>
        </is>
      </c>
      <c r="B238" s="5" t="inlineStr">
        <is>
          <t>Candidate Pipeline</t>
        </is>
      </c>
      <c r="C238" s="5" t="inlineStr">
        <is>
          <t>Closure</t>
        </is>
      </c>
      <c r="D238" s="5" t="inlineStr">
        <is>
          <t>'Rejected' closure starts the 6-month cooling-off</t>
        </is>
      </c>
      <c r="E238" s="5" t="inlineStr">
        <is>
          <t>Journey at any stage</t>
        </is>
      </c>
      <c r="F238" s="5" t="inlineStr">
        <is>
          <t>1. Close as 'Rejected'
2. Try to shortlist the candidate again (API)</t>
        </is>
      </c>
      <c r="G238" s="5" t="inlineStr">
        <is>
          <t>pipeline_status = rejected; re-shortlisting refused within 6 months</t>
        </is>
      </c>
      <c r="H238" s="5" t="inlineStr">
        <is>
          <t>Positive</t>
        </is>
      </c>
      <c r="I238" s="5" t="inlineStr">
        <is>
          <t>P2</t>
        </is>
      </c>
      <c r="J238" s="5" t="inlineStr">
        <is>
          <t>Recruiter</t>
        </is>
      </c>
      <c r="K238" s="5" t="inlineStr">
        <is>
          <t>Automated - UI (fixture)</t>
        </is>
      </c>
      <c r="L238" s="5" t="inlineStr"/>
      <c r="M238" s="5" t="inlineStr">
        <is>
          <t>CHANGES-2026-08-26-candidate-closure-graceful-exit.md</t>
        </is>
      </c>
      <c r="N238" s="5" t="inlineStr">
        <is>
          <t>New</t>
        </is>
      </c>
      <c r="O238" s="5" t="inlineStr">
        <is>
          <t>Not Run</t>
        </is>
      </c>
      <c r="P238" s="5" t="inlineStr"/>
      <c r="Q238" s="5" t="inlineStr"/>
    </row>
    <row r="239">
      <c r="A239" s="5" t="inlineStr">
        <is>
          <t>PIPE-08</t>
        </is>
      </c>
      <c r="B239" s="5" t="inlineStr">
        <is>
          <t>Candidate Pipeline</t>
        </is>
      </c>
      <c r="C239" s="5" t="inlineStr">
        <is>
          <t>Closure</t>
        </is>
      </c>
      <c r="D239" s="5" t="inlineStr">
        <is>
          <t>Closed journey suppresses actions</t>
        </is>
      </c>
      <c r="E239" s="5" t="inlineStr">
        <is>
          <t>Closed journey</t>
        </is>
      </c>
      <c r="F239" s="5" t="inlineStr">
        <is>
          <t>1. Open the closed journey's drawer</t>
        </is>
      </c>
      <c r="G239" s="5" t="inlineStr">
        <is>
          <t>Purple 'Closed -' tag; no Approve/Reject/Hold, Schedule, Re-invite or document actions; only 'Reopen record'</t>
        </is>
      </c>
      <c r="H239" s="5" t="inlineStr">
        <is>
          <t>Negative</t>
        </is>
      </c>
      <c r="I239" s="5" t="inlineStr">
        <is>
          <t>P2</t>
        </is>
      </c>
      <c r="J239" s="5" t="inlineStr">
        <is>
          <t>Recruiter</t>
        </is>
      </c>
      <c r="K239" s="5" t="inlineStr">
        <is>
          <t>Automated - UI (fixture)</t>
        </is>
      </c>
      <c r="L239" s="5" t="inlineStr"/>
      <c r="M239" s="5" t="inlineStr">
        <is>
          <t>PipelineDrawer.jsx</t>
        </is>
      </c>
      <c r="N239" s="5" t="inlineStr">
        <is>
          <t>New</t>
        </is>
      </c>
      <c r="O239" s="5" t="inlineStr">
        <is>
          <t>Not Run</t>
        </is>
      </c>
      <c r="P239" s="5" t="inlineStr"/>
      <c r="Q239" s="5" t="inlineStr"/>
    </row>
    <row r="240">
      <c r="A240" s="5" t="inlineStr">
        <is>
          <t>PIPE-09</t>
        </is>
      </c>
      <c r="B240" s="5" t="inlineStr">
        <is>
          <t>Candidate Pipeline</t>
        </is>
      </c>
      <c r="C240" s="5" t="inlineStr">
        <is>
          <t>Reopen</t>
        </is>
      </c>
      <c r="D240" s="5" t="inlineStr">
        <is>
          <t>Reopen a closed record</t>
        </is>
      </c>
      <c r="E240" s="5" t="inlineStr">
        <is>
          <t>Closed journey</t>
        </is>
      </c>
      <c r="F240" s="5" t="inlineStr">
        <is>
          <t>1. 'Reopen record'
2. Try to submit without a reason
3. Enter a reason and confirm</t>
        </is>
      </c>
      <c r="G240" s="5" t="inlineStr">
        <is>
          <t>Button disabled until a reason is typed; candidate back on the board at the stage closed on; no email; closure kept in history; MRF seats recounted</t>
        </is>
      </c>
      <c r="H240" s="5" t="inlineStr">
        <is>
          <t>Positive</t>
        </is>
      </c>
      <c r="I240" s="5" t="inlineStr">
        <is>
          <t>P1</t>
        </is>
      </c>
      <c r="J240" s="5" t="inlineStr">
        <is>
          <t>Recruiter</t>
        </is>
      </c>
      <c r="K240" s="5" t="inlineStr">
        <is>
          <t>Automated - UI (fixture)</t>
        </is>
      </c>
      <c r="L240" s="5" t="inlineStr"/>
      <c r="M240" s="5" t="inlineStr">
        <is>
          <t>CHANGES-2026-08-26-closure-followon-mrf-lifecycle.md</t>
        </is>
      </c>
      <c r="N240" s="5" t="inlineStr">
        <is>
          <t>New</t>
        </is>
      </c>
      <c r="O240" s="5" t="inlineStr">
        <is>
          <t>Not Run</t>
        </is>
      </c>
      <c r="P240" s="5" t="inlineStr"/>
      <c r="Q240" s="5" t="inlineStr"/>
    </row>
    <row r="241">
      <c r="A241" s="5" t="inlineStr">
        <is>
          <t>PIPE-10</t>
        </is>
      </c>
      <c r="B241" s="5" t="inlineStr">
        <is>
          <t>Candidate Pipeline</t>
        </is>
      </c>
      <c r="C241" s="5" t="inlineStr">
        <is>
          <t>Closure</t>
        </is>
      </c>
      <c r="D241" s="5" t="inlineStr">
        <is>
          <t>Booking refused on a closed journey</t>
        </is>
      </c>
      <c r="E241" s="5" t="inlineStr">
        <is>
          <t>Closed journey; stale tab still open</t>
        </is>
      </c>
      <c r="F241" s="5" t="inlineStr">
        <is>
          <t>1. From the stale tab, try to schedule an interview</t>
        </is>
      </c>
      <c r="G241" s="5" t="inlineStr">
        <is>
          <t>Refused with the closed-journey message; no booking created</t>
        </is>
      </c>
      <c r="H241" s="5" t="inlineStr">
        <is>
          <t>Security</t>
        </is>
      </c>
      <c r="I241" s="5" t="inlineStr">
        <is>
          <t>P3</t>
        </is>
      </c>
      <c r="J241" s="5" t="inlineStr">
        <is>
          <t>Recruiter</t>
        </is>
      </c>
      <c r="K241" s="5" t="inlineStr">
        <is>
          <t>Automated - UI (fixture)</t>
        </is>
      </c>
      <c r="L241" s="5" t="inlineStr"/>
      <c r="M241" s="5" t="inlineStr">
        <is>
          <t>CHANGES-2026-08-26-candidate-closure-graceful-exit.md</t>
        </is>
      </c>
      <c r="N241" s="5" t="inlineStr">
        <is>
          <t>New</t>
        </is>
      </c>
      <c r="O241" s="5" t="inlineStr">
        <is>
          <t>Not Run</t>
        </is>
      </c>
      <c r="P241" s="5" t="inlineStr"/>
      <c r="Q241" s="5" t="inlineStr"/>
    </row>
    <row r="242">
      <c r="A242" s="5" t="inlineStr">
        <is>
          <t>PIPE-11</t>
        </is>
      </c>
      <c r="B242" s="5" t="inlineStr">
        <is>
          <t>Candidate Pipeline</t>
        </is>
      </c>
      <c r="C242" s="5" t="inlineStr">
        <is>
          <t>Emails log</t>
        </is>
      </c>
      <c r="D242" s="5" t="inlineStr">
        <is>
          <t>Emails in this round log</t>
        </is>
      </c>
      <c r="E242" s="5" t="inlineStr">
        <is>
          <t>Outcome recorded</t>
        </is>
      </c>
      <c r="F242" s="5" t="inlineStr">
        <is>
          <t>1. Open the round's 'Emails in this round'</t>
        </is>
      </c>
      <c r="G242" s="5" t="inlineStr">
        <is>
          <t>Entry 'Outcome email &gt; candidate · &lt;date&gt; · delivered / failed / not sent' matches the real send result</t>
        </is>
      </c>
      <c r="H242" s="5" t="inlineStr">
        <is>
          <t>Positive</t>
        </is>
      </c>
      <c r="I242" s="5" t="inlineStr">
        <is>
          <t>P2</t>
        </is>
      </c>
      <c r="J242" s="5" t="inlineStr">
        <is>
          <t>Recruiter</t>
        </is>
      </c>
      <c r="K242" s="5" t="inlineStr">
        <is>
          <t>Automated - UI (fixture)</t>
        </is>
      </c>
      <c r="L242" s="5" t="inlineStr"/>
      <c r="M242" s="5" t="inlineStr">
        <is>
          <t>PipelineDrawer.jsx</t>
        </is>
      </c>
      <c r="N242" s="5" t="inlineStr">
        <is>
          <t>New</t>
        </is>
      </c>
      <c r="O242" s="5" t="inlineStr">
        <is>
          <t>Not Run</t>
        </is>
      </c>
      <c r="P242" s="5" t="inlineStr"/>
      <c r="Q242" s="5" t="inlineStr"/>
    </row>
    <row r="243">
      <c r="A243" s="5" t="inlineStr">
        <is>
          <t>PIPE-12</t>
        </is>
      </c>
      <c r="B243" s="5" t="inlineStr">
        <is>
          <t>Candidate Pipeline</t>
        </is>
      </c>
      <c r="C243" s="5" t="inlineStr">
        <is>
          <t>Access</t>
        </is>
      </c>
      <c r="D243" s="5" t="inlineStr">
        <is>
          <t>Prototype route is module-guarded</t>
        </is>
      </c>
      <c r="E243" s="5" t="inlineStr">
        <is>
          <t>User without recruitment_pipeline module</t>
        </is>
      </c>
      <c r="F243" s="5" t="inlineStr">
        <is>
          <t>1. Open /candidate-pipeline-prototype</t>
        </is>
      </c>
      <c r="G243" s="5" t="inlineStr">
        <is>
          <t>Blocked like /pipeline</t>
        </is>
      </c>
      <c r="H243" s="5" t="inlineStr">
        <is>
          <t>Security</t>
        </is>
      </c>
      <c r="I243" s="5" t="inlineStr">
        <is>
          <t>P3</t>
        </is>
      </c>
      <c r="J243" s="5" t="inlineStr">
        <is>
          <t>Recruiter</t>
        </is>
      </c>
      <c r="K243" s="5" t="inlineStr">
        <is>
          <t>Automated - UI</t>
        </is>
      </c>
      <c r="L243" s="5" t="inlineStr"/>
      <c r="M243" s="5" t="inlineStr">
        <is>
          <t>App.jsx</t>
        </is>
      </c>
      <c r="N243" s="5" t="inlineStr">
        <is>
          <t>New</t>
        </is>
      </c>
      <c r="O243" s="5" t="inlineStr">
        <is>
          <t>Not Run</t>
        </is>
      </c>
      <c r="P243" s="5" t="inlineStr"/>
      <c r="Q243" s="5" t="inlineStr"/>
    </row>
    <row r="244">
      <c r="A244" s="5" t="inlineStr">
        <is>
          <t>CLI-08</t>
        </is>
      </c>
      <c r="B244" s="5" t="inlineStr">
        <is>
          <t>Candidate Pipeline</t>
        </is>
      </c>
      <c r="C244" s="5" t="inlineStr">
        <is>
          <t>Client Round (Optional)</t>
        </is>
      </c>
      <c r="D244" s="5" t="inlineStr">
        <is>
          <t>Client round has no scheduling</t>
        </is>
      </c>
      <c r="E244" s="5" t="inlineStr">
        <is>
          <t>Journey at Client Round</t>
        </is>
      </c>
      <c r="F244" s="5" t="inlineStr">
        <is>
          <t>1. Open the drawer</t>
        </is>
      </c>
      <c r="G244" s="5" t="inlineStr">
        <is>
          <t>No 'Schedule Interview' button; steps read Stage Entry &gt; Client Meeting &gt; Client Feedback &gt; Approve / Reject</t>
        </is>
      </c>
      <c r="H244" s="5" t="inlineStr">
        <is>
          <t>Negative</t>
        </is>
      </c>
      <c r="I244" s="5" t="inlineStr">
        <is>
          <t>P1</t>
        </is>
      </c>
      <c r="J244" s="5" t="inlineStr">
        <is>
          <t>Recruiter</t>
        </is>
      </c>
      <c r="K244" s="5" t="inlineStr">
        <is>
          <t>Automated - UI (fixture)</t>
        </is>
      </c>
      <c r="L244" s="5" t="inlineStr"/>
      <c r="M244" s="5" t="inlineStr">
        <is>
          <t>CHANGES-2026-08-25-client-round-and-offer-mark-only.md</t>
        </is>
      </c>
      <c r="N244" s="5" t="inlineStr">
        <is>
          <t>New</t>
        </is>
      </c>
      <c r="O244" s="5" t="inlineStr">
        <is>
          <t>Not Run</t>
        </is>
      </c>
      <c r="P244" s="5" t="inlineStr"/>
      <c r="Q244" s="5" t="inlineStr"/>
    </row>
    <row r="245">
      <c r="A245" s="5" t="inlineStr">
        <is>
          <t>CLI-09</t>
        </is>
      </c>
      <c r="B245" s="5" t="inlineStr">
        <is>
          <t>Candidate Pipeline</t>
        </is>
      </c>
      <c r="C245" s="5" t="inlineStr">
        <is>
          <t>Client Round (Optional)</t>
        </is>
      </c>
      <c r="D245" s="5" t="inlineStr">
        <is>
          <t>Mark client meeting as held</t>
        </is>
      </c>
      <c r="E245" s="5" t="inlineStr"/>
      <c r="F245" s="5" t="inlineStr">
        <is>
          <t>1. Click mark as held
2. Enter date/time and optional client contact
3. 'Mark as held'</t>
        </is>
      </c>
      <c r="G245" s="5" t="inlineStr">
        <is>
          <t>Step reads 'Arranged offline - held &lt;date&gt; with &lt;contact&gt;'; NO email and NO scorecard link sent to anyone</t>
        </is>
      </c>
      <c r="H245" s="5" t="inlineStr">
        <is>
          <t>Positive</t>
        </is>
      </c>
      <c r="I245" s="5" t="inlineStr">
        <is>
          <t>P1</t>
        </is>
      </c>
      <c r="J245" s="5" t="inlineStr">
        <is>
          <t>Recruiter</t>
        </is>
      </c>
      <c r="K245" s="5" t="inlineStr">
        <is>
          <t>Automated - UI (fixture)</t>
        </is>
      </c>
      <c r="L245" s="5" t="inlineStr"/>
      <c r="M245" s="5" t="inlineStr">
        <is>
          <t>CHANGES-2026-08-25-client-round-and-offer-mark-only.md</t>
        </is>
      </c>
      <c r="N245" s="5" t="inlineStr">
        <is>
          <t>New</t>
        </is>
      </c>
      <c r="O245" s="5" t="inlineStr">
        <is>
          <t>Not Run</t>
        </is>
      </c>
      <c r="P245" s="5" t="inlineStr"/>
      <c r="Q245" s="5" t="inlineStr"/>
    </row>
    <row r="246">
      <c r="A246" s="5" t="inlineStr">
        <is>
          <t>CLI-10</t>
        </is>
      </c>
      <c r="B246" s="5" t="inlineStr">
        <is>
          <t>Candidate Pipeline</t>
        </is>
      </c>
      <c r="C246" s="5" t="inlineStr">
        <is>
          <t>Client Round (Optional)</t>
        </is>
      </c>
      <c r="D246" s="5" t="inlineStr">
        <is>
          <t>Record client feedback</t>
        </is>
      </c>
      <c r="E246" s="5" t="inlineStr">
        <is>
          <t>Meeting marked held</t>
        </is>
      </c>
      <c r="F246" s="5" t="inlineStr">
        <is>
          <t>1. 'Record client feedback'
2. Type the client's verdict
3. 'Save feedback'</t>
        </is>
      </c>
      <c r="G246" s="5" t="inlineStr">
        <is>
          <t>Feedback shown quoted in the Client Feedback step; button not available before the meeting is marked held</t>
        </is>
      </c>
      <c r="H246" s="5" t="inlineStr">
        <is>
          <t>Positive</t>
        </is>
      </c>
      <c r="I246" s="5" t="inlineStr">
        <is>
          <t>P2</t>
        </is>
      </c>
      <c r="J246" s="5" t="inlineStr">
        <is>
          <t>Recruiter</t>
        </is>
      </c>
      <c r="K246" s="5" t="inlineStr">
        <is>
          <t>Automated - UI (fixture)</t>
        </is>
      </c>
      <c r="L246" s="5" t="inlineStr"/>
      <c r="M246" s="5" t="inlineStr">
        <is>
          <t>CHANGES-2026-08-25-client-round-and-offer-mark-only.md</t>
        </is>
      </c>
      <c r="N246" s="5" t="inlineStr">
        <is>
          <t>New</t>
        </is>
      </c>
      <c r="O246" s="5" t="inlineStr">
        <is>
          <t>Not Run</t>
        </is>
      </c>
      <c r="P246" s="5" t="inlineStr"/>
      <c r="Q246" s="5" t="inlineStr"/>
    </row>
    <row r="247">
      <c r="A247" s="5" t="inlineStr">
        <is>
          <t>DOC-08</t>
        </is>
      </c>
      <c r="B247" s="5" t="inlineStr">
        <is>
          <t>Documents</t>
        </is>
      </c>
      <c r="C247" s="5" t="inlineStr">
        <is>
          <t>Candidate upload page</t>
        </is>
      </c>
      <c r="D247" s="5" t="inlineStr">
        <is>
          <t>Open the document upload link</t>
        </is>
      </c>
      <c r="E247" s="5" t="inlineStr">
        <is>
          <t>Document request raised (DOC-02); token from DB (fixture)</t>
        </is>
      </c>
      <c r="F247" s="5" t="inlineStr">
        <is>
          <t>1. Open /documents/&lt;token&gt; logged out</t>
        </is>
      </c>
      <c r="G247" s="5" t="inlineStr">
        <is>
          <t>'Upload your documents' with candidate/position and checklist (3 months' payslips, permanent address, government ID with DOB + father's name)</t>
        </is>
      </c>
      <c r="H247" s="5" t="inlineStr">
        <is>
          <t>Positive</t>
        </is>
      </c>
      <c r="I247" s="5" t="inlineStr">
        <is>
          <t>P1</t>
        </is>
      </c>
      <c r="J247" s="5" t="inlineStr">
        <is>
          <t>Candidate (public)</t>
        </is>
      </c>
      <c r="K247" s="5" t="inlineStr">
        <is>
          <t>Automated - UI (fixture)</t>
        </is>
      </c>
      <c r="L247" s="5" t="inlineStr"/>
      <c r="M247" s="5" t="inlineStr">
        <is>
          <t>DocumentUpload.jsx</t>
        </is>
      </c>
      <c r="N247" s="5" t="inlineStr">
        <is>
          <t>New</t>
        </is>
      </c>
      <c r="O247" s="5" t="inlineStr">
        <is>
          <t>Not Run</t>
        </is>
      </c>
      <c r="P247" s="5" t="inlineStr"/>
      <c r="Q247" s="5" t="inlineStr"/>
    </row>
    <row r="248">
      <c r="A248" s="5" t="inlineStr">
        <is>
          <t>DOC-09</t>
        </is>
      </c>
      <c r="B248" s="5" t="inlineStr">
        <is>
          <t>Documents</t>
        </is>
      </c>
      <c r="C248" s="5" t="inlineStr">
        <is>
          <t>Candidate upload page</t>
        </is>
      </c>
      <c r="D248" s="5" t="inlineStr">
        <is>
          <t>Unsupported file format</t>
        </is>
      </c>
      <c r="E248" s="5" t="inlineStr"/>
      <c r="F248" s="5" t="inlineStr">
        <is>
          <t>1. Choose a .exe/.txt for an item</t>
        </is>
      </c>
      <c r="G248" s="5" t="inlineStr">
        <is>
          <t>'&lt;file&gt; is not an accepted format. Please upload a PDF, DOC/DOCX, JPG, PNG or ZIP.'</t>
        </is>
      </c>
      <c r="H248" s="5" t="inlineStr">
        <is>
          <t>Negative</t>
        </is>
      </c>
      <c r="I248" s="5" t="inlineStr">
        <is>
          <t>P2</t>
        </is>
      </c>
      <c r="J248" s="5" t="inlineStr">
        <is>
          <t>Candidate (public)</t>
        </is>
      </c>
      <c r="K248" s="5" t="inlineStr">
        <is>
          <t>Automated - UI (fixture)</t>
        </is>
      </c>
      <c r="L248" s="5" t="inlineStr"/>
      <c r="M248" s="5" t="inlineStr">
        <is>
          <t>DocumentUpload.jsx</t>
        </is>
      </c>
      <c r="N248" s="5" t="inlineStr">
        <is>
          <t>New</t>
        </is>
      </c>
      <c r="O248" s="5" t="inlineStr">
        <is>
          <t>Not Run</t>
        </is>
      </c>
      <c r="P248" s="5" t="inlineStr"/>
      <c r="Q248" s="5" t="inlineStr"/>
    </row>
    <row r="249">
      <c r="A249" s="5" t="inlineStr">
        <is>
          <t>DOC-10</t>
        </is>
      </c>
      <c r="B249" s="5" t="inlineStr">
        <is>
          <t>Documents</t>
        </is>
      </c>
      <c r="C249" s="5" t="inlineStr">
        <is>
          <t>Candidate upload page</t>
        </is>
      </c>
      <c r="D249" s="5" t="inlineStr">
        <is>
          <t>File over 10 MB</t>
        </is>
      </c>
      <c r="E249" s="5" t="inlineStr"/>
      <c r="F249" s="5" t="inlineStr">
        <is>
          <t>1. Choose an 11 MB PDF</t>
        </is>
      </c>
      <c r="G249" s="5" t="inlineStr">
        <is>
          <t>'&lt;file&gt; is 11.0 MB. Please upload a file under 10 MB.'</t>
        </is>
      </c>
      <c r="H249" s="5" t="inlineStr">
        <is>
          <t>Negative</t>
        </is>
      </c>
      <c r="I249" s="5" t="inlineStr">
        <is>
          <t>P2</t>
        </is>
      </c>
      <c r="J249" s="5" t="inlineStr">
        <is>
          <t>Candidate (public)</t>
        </is>
      </c>
      <c r="K249" s="5" t="inlineStr">
        <is>
          <t>Automated - UI (fixture)</t>
        </is>
      </c>
      <c r="L249" s="5" t="inlineStr"/>
      <c r="M249" s="5" t="inlineStr">
        <is>
          <t>DocumentUpload.jsx</t>
        </is>
      </c>
      <c r="N249" s="5" t="inlineStr">
        <is>
          <t>New</t>
        </is>
      </c>
      <c r="O249" s="5" t="inlineStr">
        <is>
          <t>Not Run</t>
        </is>
      </c>
      <c r="P249" s="5" t="inlineStr"/>
      <c r="Q249" s="5" t="inlineStr"/>
    </row>
    <row r="250">
      <c r="A250" s="5" t="inlineStr">
        <is>
          <t>DOC-11</t>
        </is>
      </c>
      <c r="B250" s="5" t="inlineStr">
        <is>
          <t>Documents</t>
        </is>
      </c>
      <c r="C250" s="5" t="inlineStr">
        <is>
          <t>Candidate upload page</t>
        </is>
      </c>
      <c r="D250" s="5" t="inlineStr">
        <is>
          <t>Submit staged documents</t>
        </is>
      </c>
      <c r="E250" s="5" t="inlineStr"/>
      <c r="F250" s="5" t="inlineStr">
        <is>
          <t>1. Stage files for each item
2. Click 'Submit N documents'</t>
        </is>
      </c>
      <c r="G250" s="5" t="inlineStr">
        <is>
          <t>'Documents received - thank you.' acknowledgement; files stored under Document Collection/&lt;name (cv-id)&gt;/ in OneDrive</t>
        </is>
      </c>
      <c r="H250" s="5" t="inlineStr">
        <is>
          <t>Positive</t>
        </is>
      </c>
      <c r="I250" s="5" t="inlineStr">
        <is>
          <t>P1</t>
        </is>
      </c>
      <c r="J250" s="5" t="inlineStr">
        <is>
          <t>Candidate (public)</t>
        </is>
      </c>
      <c r="K250" s="5" t="inlineStr">
        <is>
          <t>Manual - External</t>
        </is>
      </c>
      <c r="L250" s="5" t="inlineStr">
        <is>
          <t>MS Graph OneDrive</t>
        </is>
      </c>
      <c r="M250" s="5" t="inlineStr">
        <is>
          <t>CHANGES-2026-08-07-candidate-pipeline-fixes.md #21</t>
        </is>
      </c>
      <c r="N250" s="5" t="inlineStr">
        <is>
          <t>New</t>
        </is>
      </c>
      <c r="O250" s="5" t="inlineStr">
        <is>
          <t>Not Run</t>
        </is>
      </c>
      <c r="P250" s="5" t="inlineStr"/>
      <c r="Q250" s="5" t="inlineStr"/>
    </row>
    <row r="251">
      <c r="A251" s="5" t="inlineStr">
        <is>
          <t>DOC-12</t>
        </is>
      </c>
      <c r="B251" s="5" t="inlineStr">
        <is>
          <t>Documents</t>
        </is>
      </c>
      <c r="C251" s="5" t="inlineStr">
        <is>
          <t>Candidate upload page</t>
        </is>
      </c>
      <c r="D251" s="5" t="inlineStr">
        <is>
          <t>Invalid link</t>
        </is>
      </c>
      <c r="E251" s="5" t="inlineStr"/>
      <c r="F251" s="5" t="inlineStr">
        <is>
          <t>1. Open /documents/not-a-token</t>
        </is>
      </c>
      <c r="G251" s="5" t="inlineStr">
        <is>
          <t>'Link unavailable - We could not open this document request.'</t>
        </is>
      </c>
      <c r="H251" s="5" t="inlineStr">
        <is>
          <t>Security</t>
        </is>
      </c>
      <c r="I251" s="5" t="inlineStr">
        <is>
          <t>P2</t>
        </is>
      </c>
      <c r="J251" s="5" t="inlineStr">
        <is>
          <t>Candidate (public)</t>
        </is>
      </c>
      <c r="K251" s="5" t="inlineStr">
        <is>
          <t>Automated - UI</t>
        </is>
      </c>
      <c r="L251" s="5" t="inlineStr"/>
      <c r="M251" s="5" t="inlineStr">
        <is>
          <t>DocumentUpload.jsx</t>
        </is>
      </c>
      <c r="N251" s="5" t="inlineStr">
        <is>
          <t>New</t>
        </is>
      </c>
      <c r="O251" s="5" t="inlineStr">
        <is>
          <t>Not Run</t>
        </is>
      </c>
      <c r="P251" s="5" t="inlineStr"/>
      <c r="Q251" s="5" t="inlineStr"/>
    </row>
    <row r="252">
      <c r="A252" s="5" t="inlineStr">
        <is>
          <t>DOC-13</t>
        </is>
      </c>
      <c r="B252" s="5" t="inlineStr">
        <is>
          <t>Documents</t>
        </is>
      </c>
      <c r="C252" s="5" t="inlineStr">
        <is>
          <t>Candidate upload page</t>
        </is>
      </c>
      <c r="D252" s="5" t="inlineStr">
        <is>
          <t>Link closed after journey closure</t>
        </is>
      </c>
      <c r="E252" s="5" t="inlineStr">
        <is>
          <t>Journey closed after the request</t>
        </is>
      </c>
      <c r="F252" s="5" t="inlineStr">
        <is>
          <t>1. Open the old link</t>
        </is>
      </c>
      <c r="G252" s="5" t="inlineStr">
        <is>
          <t>'This upload link is closed'</t>
        </is>
      </c>
      <c r="H252" s="5" t="inlineStr">
        <is>
          <t>Security</t>
        </is>
      </c>
      <c r="I252" s="5" t="inlineStr">
        <is>
          <t>P2</t>
        </is>
      </c>
      <c r="J252" s="5" t="inlineStr">
        <is>
          <t>Candidate (public)</t>
        </is>
      </c>
      <c r="K252" s="5" t="inlineStr">
        <is>
          <t>Automated - UI (fixture)</t>
        </is>
      </c>
      <c r="L252" s="5" t="inlineStr"/>
      <c r="M252" s="5" t="inlineStr">
        <is>
          <t>CHANGES-2026-08-26-candidate-closure-graceful-exit.md</t>
        </is>
      </c>
      <c r="N252" s="5" t="inlineStr">
        <is>
          <t>New</t>
        </is>
      </c>
      <c r="O252" s="5" t="inlineStr">
        <is>
          <t>Not Run</t>
        </is>
      </c>
      <c r="P252" s="5" t="inlineStr"/>
      <c r="Q252" s="5" t="inlineStr"/>
    </row>
    <row r="253">
      <c r="A253" s="5" t="inlineStr">
        <is>
          <t>DOC-14</t>
        </is>
      </c>
      <c r="B253" s="5" t="inlineStr">
        <is>
          <t>Documents</t>
        </is>
      </c>
      <c r="C253" s="5" t="inlineStr">
        <is>
          <t>Verification</t>
        </is>
      </c>
      <c r="D253" s="5" t="inlineStr">
        <is>
          <t>Verify an uploaded document</t>
        </is>
      </c>
      <c r="E253" s="5" t="inlineStr">
        <is>
          <t>Document uploaded</t>
        </is>
      </c>
      <c r="F253" s="5" t="inlineStr">
        <is>
          <t>1. Drawer &gt; Documents checklist &gt; Verify</t>
        </is>
      </c>
      <c r="G253" s="5" t="inlineStr">
        <is>
          <t>Tag 'Verified'; when all items verified the segment reads 'All documents verified' and the candidate page shows 'All documents received and verified'</t>
        </is>
      </c>
      <c r="H253" s="5" t="inlineStr">
        <is>
          <t>Positive</t>
        </is>
      </c>
      <c r="I253" s="5" t="inlineStr">
        <is>
          <t>P1</t>
        </is>
      </c>
      <c r="J253" s="5" t="inlineStr">
        <is>
          <t>Recruiter</t>
        </is>
      </c>
      <c r="K253" s="5" t="inlineStr">
        <is>
          <t>Automated - UI (fixture)</t>
        </is>
      </c>
      <c r="L253" s="5" t="inlineStr"/>
      <c r="M253" s="5" t="inlineStr">
        <is>
          <t>PipelineDrawer.jsx</t>
        </is>
      </c>
      <c r="N253" s="5" t="inlineStr">
        <is>
          <t>New</t>
        </is>
      </c>
      <c r="O253" s="5" t="inlineStr">
        <is>
          <t>Not Run</t>
        </is>
      </c>
      <c r="P253" s="5" t="inlineStr"/>
      <c r="Q253" s="5" t="inlineStr"/>
    </row>
    <row r="254">
      <c r="A254" s="5" t="inlineStr">
        <is>
          <t>DOC-15</t>
        </is>
      </c>
      <c r="B254" s="5" t="inlineStr">
        <is>
          <t>Documents</t>
        </is>
      </c>
      <c r="C254" s="5" t="inlineStr">
        <is>
          <t>Verification</t>
        </is>
      </c>
      <c r="D254" s="5" t="inlineStr">
        <is>
          <t>Reject a document with a reason</t>
        </is>
      </c>
      <c r="E254" s="5" t="inlineStr">
        <is>
          <t>Document uploaded</t>
        </is>
      </c>
      <c r="F254" s="5" t="inlineStr">
        <is>
          <t>1. 'Reject…'
2. Try without a reason, then enter one
3. 'Reject &amp; re-request'</t>
        </is>
      </c>
      <c r="G254" s="5" t="inlineStr">
        <is>
          <t>Needs a reason; tag 'Rejected - re-requested'; candidate page shows 'Please re-upload: &lt;reason&gt;'; re-request email to candidate only</t>
        </is>
      </c>
      <c r="H254" s="5" t="inlineStr">
        <is>
          <t>Positive</t>
        </is>
      </c>
      <c r="I254" s="5" t="inlineStr">
        <is>
          <t>P1</t>
        </is>
      </c>
      <c r="J254" s="5" t="inlineStr">
        <is>
          <t>Recruiter</t>
        </is>
      </c>
      <c r="K254" s="5" t="inlineStr">
        <is>
          <t>Automated - UI (fixture)</t>
        </is>
      </c>
      <c r="L254" s="5" t="inlineStr">
        <is>
          <t>MS Graph mail (delivery check only)</t>
        </is>
      </c>
      <c r="M254" s="5" t="inlineStr">
        <is>
          <t>CHANGES-phase3-m4-documents.md</t>
        </is>
      </c>
      <c r="N254" s="5" t="inlineStr">
        <is>
          <t>New</t>
        </is>
      </c>
      <c r="O254" s="5" t="inlineStr">
        <is>
          <t>Not Run</t>
        </is>
      </c>
      <c r="P254" s="5" t="inlineStr"/>
      <c r="Q254" s="5" t="inlineStr"/>
    </row>
    <row r="255">
      <c r="A255" s="5" t="inlineStr">
        <is>
          <t>DOC-16</t>
        </is>
      </c>
      <c r="B255" s="5" t="inlineStr">
        <is>
          <t>Documents</t>
        </is>
      </c>
      <c r="C255" s="5" t="inlineStr">
        <is>
          <t>Reminders</t>
        </is>
      </c>
      <c r="D255" s="5" t="inlineStr">
        <is>
          <t>Send reminder manually</t>
        </is>
      </c>
      <c r="E255" s="5" t="inlineStr">
        <is>
          <t>Request outstanding</t>
        </is>
      </c>
      <c r="F255" s="5" t="inlineStr">
        <is>
          <t>1. Click 'Send reminder'</t>
        </is>
      </c>
      <c r="G255" s="5" t="inlineStr">
        <is>
          <t>Reminder logged; counter increments only when the send succeeds</t>
        </is>
      </c>
      <c r="H255" s="5" t="inlineStr">
        <is>
          <t>Positive</t>
        </is>
      </c>
      <c r="I255" s="5" t="inlineStr">
        <is>
          <t>P3</t>
        </is>
      </c>
      <c r="J255" s="5" t="inlineStr">
        <is>
          <t>Recruiter</t>
        </is>
      </c>
      <c r="K255" s="5" t="inlineStr">
        <is>
          <t>Automated - UI (fixture)</t>
        </is>
      </c>
      <c r="L255" s="5" t="inlineStr">
        <is>
          <t>MS Graph mail (delivery check only)</t>
        </is>
      </c>
      <c r="M255" s="5" t="inlineStr">
        <is>
          <t>CHANGES-2026-08-07-candidate-pipeline-fixes.md #22</t>
        </is>
      </c>
      <c r="N255" s="5" t="inlineStr">
        <is>
          <t>New</t>
        </is>
      </c>
      <c r="O255" s="5" t="inlineStr">
        <is>
          <t>Not Run</t>
        </is>
      </c>
      <c r="P255" s="5" t="inlineStr"/>
      <c r="Q255" s="5" t="inlineStr"/>
    </row>
    <row r="256">
      <c r="A256" s="5" t="inlineStr">
        <is>
          <t>DOC-17</t>
        </is>
      </c>
      <c r="B256" s="5" t="inlineStr">
        <is>
          <t>Documents</t>
        </is>
      </c>
      <c r="C256" s="5" t="inlineStr">
        <is>
          <t>Reminders</t>
        </is>
      </c>
      <c r="D256" s="5" t="inlineStr">
        <is>
          <t>Automatic reminders</t>
        </is>
      </c>
      <c r="E256" s="5" t="inlineStr">
        <is>
          <t>Request outstanding &gt; 2 days</t>
        </is>
      </c>
      <c r="F256" s="5" t="inlineStr">
        <is>
          <t>1. Run the document reminder job (daily 09:00)</t>
        </is>
      </c>
      <c r="G256" s="5" t="inlineStr">
        <is>
          <t>First reminder after 2 days, max 3; none for closed or paused journeys</t>
        </is>
      </c>
      <c r="H256" s="5" t="inlineStr">
        <is>
          <t>Positive</t>
        </is>
      </c>
      <c r="I256" s="5" t="inlineStr">
        <is>
          <t>P3</t>
        </is>
      </c>
      <c r="J256" s="5" t="inlineStr">
        <is>
          <t>System</t>
        </is>
      </c>
      <c r="K256" s="5" t="inlineStr">
        <is>
          <t>Manual - Scheduled job</t>
        </is>
      </c>
      <c r="L256" s="5" t="inlineStr">
        <is>
          <t>MS Graph mail (delivery check only)</t>
        </is>
      </c>
      <c r="M256" s="5" t="inlineStr">
        <is>
          <t>jobs/documentReminder.js</t>
        </is>
      </c>
      <c r="N256" s="5" t="inlineStr">
        <is>
          <t>New</t>
        </is>
      </c>
      <c r="O256" s="5" t="inlineStr">
        <is>
          <t>Not Run</t>
        </is>
      </c>
      <c r="P256" s="5" t="inlineStr"/>
      <c r="Q256" s="5" t="inlineStr"/>
    </row>
    <row r="257">
      <c r="A257" s="5" t="inlineStr">
        <is>
          <t>OFR-07</t>
        </is>
      </c>
      <c r="B257" s="5" t="inlineStr">
        <is>
          <t>Offer &amp; Closure</t>
        </is>
      </c>
      <c r="C257" s="5" t="inlineStr">
        <is>
          <t>Offer</t>
        </is>
      </c>
      <c r="D257" s="5" t="inlineStr">
        <is>
          <t>Joining date cannot be in the past</t>
        </is>
      </c>
      <c r="E257" s="5" t="inlineStr">
        <is>
          <t>Offer stage</t>
        </is>
      </c>
      <c r="F257" s="5" t="inlineStr">
        <is>
          <t>1. 'Record offer shared'
2. Try to pick yesterday</t>
        </is>
      </c>
      <c r="G257" s="5" t="inlineStr">
        <is>
          <t>Past dates disabled in the date picker</t>
        </is>
      </c>
      <c r="H257" s="5" t="inlineStr">
        <is>
          <t>Negative</t>
        </is>
      </c>
      <c r="I257" s="5" t="inlineStr">
        <is>
          <t>P2</t>
        </is>
      </c>
      <c r="J257" s="5" t="inlineStr">
        <is>
          <t>Recruiter</t>
        </is>
      </c>
      <c r="K257" s="5" t="inlineStr">
        <is>
          <t>Automated - UI (fixture)</t>
        </is>
      </c>
      <c r="L257" s="5" t="inlineStr"/>
      <c r="M257" s="5" t="inlineStr">
        <is>
          <t>PipelineDrawer.jsx</t>
        </is>
      </c>
      <c r="N257" s="5" t="inlineStr">
        <is>
          <t>New</t>
        </is>
      </c>
      <c r="O257" s="5" t="inlineStr">
        <is>
          <t>Not Run</t>
        </is>
      </c>
      <c r="P257" s="5" t="inlineStr"/>
      <c r="Q257" s="5" t="inlineStr"/>
    </row>
    <row r="258">
      <c r="A258" s="5" t="inlineStr">
        <is>
          <t>OFR-08</t>
        </is>
      </c>
      <c r="B258" s="5" t="inlineStr">
        <is>
          <t>Offer &amp; Closure</t>
        </is>
      </c>
      <c r="C258" s="5" t="inlineStr">
        <is>
          <t>Offer</t>
        </is>
      </c>
      <c r="D258" s="5" t="inlineStr">
        <is>
          <t>Offer progress copy</t>
        </is>
      </c>
      <c r="E258" s="5" t="inlineStr">
        <is>
          <t>Offer stage</t>
        </is>
      </c>
      <c r="F258" s="5" t="inlineStr">
        <is>
          <t>1. Check Awaiting Response / Accepted-Declined rows before sharing, after sharing, after decision</t>
        </is>
      </c>
      <c r="G258" s="5" t="inlineStr">
        <is>
          <t>Before: 'Awaiting the offer to be shared' / 'Not yet - the offer has not gone out'. After share: 'Awaiting the candidate's reply'. After decision: 'Candidate replied · &lt;date&gt;' / 'Accepted · joining &lt;date&gt;' or 'Declined by the candidate'</t>
        </is>
      </c>
      <c r="H258" s="5" t="inlineStr">
        <is>
          <t>Positive</t>
        </is>
      </c>
      <c r="I258" s="5" t="inlineStr">
        <is>
          <t>P3</t>
        </is>
      </c>
      <c r="J258" s="5" t="inlineStr">
        <is>
          <t>Recruiter</t>
        </is>
      </c>
      <c r="K258" s="5" t="inlineStr">
        <is>
          <t>Automated - UI (fixture)</t>
        </is>
      </c>
      <c r="L258" s="5" t="inlineStr"/>
      <c r="M258" s="5" t="inlineStr">
        <is>
          <t>CHANGES-2026-08-25-client-round-and-offer-mark-only.md</t>
        </is>
      </c>
      <c r="N258" s="5" t="inlineStr">
        <is>
          <t>New</t>
        </is>
      </c>
      <c r="O258" s="5" t="inlineStr">
        <is>
          <t>Not Run</t>
        </is>
      </c>
      <c r="P258" s="5" t="inlineStr"/>
      <c r="Q258" s="5" t="inlineStr"/>
    </row>
    <row r="259">
      <c r="A259" s="5" t="inlineStr">
        <is>
          <t>OFR-09</t>
        </is>
      </c>
      <c r="B259" s="5" t="inlineStr">
        <is>
          <t>Offer &amp; Closure</t>
        </is>
      </c>
      <c r="C259" s="5" t="inlineStr">
        <is>
          <t>Closure</t>
        </is>
      </c>
      <c r="D259" s="5" t="inlineStr">
        <is>
          <t>Hire falls through re-opens the MRF</t>
        </is>
      </c>
      <c r="E259" s="5" t="inlineStr">
        <is>
          <t>MRF filled by an accepted offer</t>
        </is>
      </c>
      <c r="F259" s="5" t="inlineStr">
        <is>
          <t>1. Close the candidate as 'Did Not Join'</t>
        </is>
      </c>
      <c r="G259" s="5" t="inlineStr">
        <is>
          <t>MRF filled flag cleared; role back in JD filtering</t>
        </is>
      </c>
      <c r="H259" s="5" t="inlineStr">
        <is>
          <t>Positive</t>
        </is>
      </c>
      <c r="I259" s="5" t="inlineStr">
        <is>
          <t>P1</t>
        </is>
      </c>
      <c r="J259" s="5" t="inlineStr">
        <is>
          <t>Recruiter</t>
        </is>
      </c>
      <c r="K259" s="5" t="inlineStr">
        <is>
          <t>Automated - UI (fixture)</t>
        </is>
      </c>
      <c r="L259" s="5" t="inlineStr"/>
      <c r="M259" s="5" t="inlineStr">
        <is>
          <t>CHANGES-phase3-mrf-closure-on-offer-accepted.md</t>
        </is>
      </c>
      <c r="N259" s="5" t="inlineStr">
        <is>
          <t>New</t>
        </is>
      </c>
      <c r="O259" s="5" t="inlineStr">
        <is>
          <t>Not Run</t>
        </is>
      </c>
      <c r="P259" s="5" t="inlineStr"/>
      <c r="Q259" s="5" t="inlineStr"/>
    </row>
    <row r="260">
      <c r="A260" s="5" t="inlineStr">
        <is>
          <t>OFR-10</t>
        </is>
      </c>
      <c r="B260" s="5" t="inlineStr">
        <is>
          <t>Offer &amp; Closure</t>
        </is>
      </c>
      <c r="C260" s="5" t="inlineStr">
        <is>
          <t>Closure</t>
        </is>
      </c>
      <c r="D260" s="5" t="inlineStr">
        <is>
          <t>Post-joining auto-close after 90 days</t>
        </is>
      </c>
      <c r="E260" s="5" t="inlineStr">
        <is>
          <t>Accepted offer with joining date &gt; 90 days ago</t>
        </is>
      </c>
      <c r="F260" s="5" t="inlineStr">
        <is>
          <t>1. Run runPostJoiningAutoClose()</t>
        </is>
      </c>
      <c r="G260" s="5" t="inlineStr">
        <is>
          <t>Journey closed as 'joined'; a journey already closed as 'joined_and_left' is untouched</t>
        </is>
      </c>
      <c r="H260" s="5" t="inlineStr">
        <is>
          <t>Positive</t>
        </is>
      </c>
      <c r="I260" s="5" t="inlineStr">
        <is>
          <t>P3</t>
        </is>
      </c>
      <c r="J260" s="5" t="inlineStr">
        <is>
          <t>System</t>
        </is>
      </c>
      <c r="K260" s="5" t="inlineStr">
        <is>
          <t>Manual - Scheduled job</t>
        </is>
      </c>
      <c r="L260" s="5" t="inlineStr"/>
      <c r="M260" s="5" t="inlineStr">
        <is>
          <t>jobs/offerSweep.js</t>
        </is>
      </c>
      <c r="N260" s="5" t="inlineStr">
        <is>
          <t>New</t>
        </is>
      </c>
      <c r="O260" s="5" t="inlineStr">
        <is>
          <t>Not Run</t>
        </is>
      </c>
      <c r="P260" s="5" t="inlineStr"/>
      <c r="Q260" s="5" t="inlineStr"/>
    </row>
    <row r="261">
      <c r="A261" s="5" t="inlineStr">
        <is>
          <t>SC-01</t>
        </is>
      </c>
      <c r="B261" s="5" t="inlineStr">
        <is>
          <t>Interviewer Scorecard</t>
        </is>
      </c>
      <c r="C261" s="5" t="inlineStr">
        <is>
          <t>Gate</t>
        </is>
      </c>
      <c r="D261" s="5" t="inlineStr">
        <is>
          <t>Scorecard link opens with context</t>
        </is>
      </c>
      <c r="E261" s="5" t="inlineStr">
        <is>
          <t>Tech 1 booked and marked held; scorecard token from DB (fixture)</t>
        </is>
      </c>
      <c r="F261" s="5" t="inlineStr">
        <is>
          <t>1. Open /scorecard/&lt;token&gt; logged out</t>
        </is>
      </c>
      <c r="G261" s="5" t="inlineStr">
        <is>
          <t>Shows CANDIDATE, POSITION, ROUND, INTERVIEWER; asks whether the interview happened ('Yes, we met - score now' / 'No - it didn't happen')</t>
        </is>
      </c>
      <c r="H261" s="5" t="inlineStr">
        <is>
          <t>Positive</t>
        </is>
      </c>
      <c r="I261" s="5" t="inlineStr">
        <is>
          <t>P1</t>
        </is>
      </c>
      <c r="J261" s="5" t="inlineStr">
        <is>
          <t>Interviewer (public)</t>
        </is>
      </c>
      <c r="K261" s="5" t="inlineStr">
        <is>
          <t>Automated - UI (fixture)</t>
        </is>
      </c>
      <c r="L261" s="5" t="inlineStr"/>
      <c r="M261" s="5" t="inlineStr">
        <is>
          <t>InterviewScorecard.jsx</t>
        </is>
      </c>
      <c r="N261" s="5" t="inlineStr">
        <is>
          <t>New</t>
        </is>
      </c>
      <c r="O261" s="5" t="inlineStr">
        <is>
          <t>Not Run</t>
        </is>
      </c>
      <c r="P261" s="5" t="inlineStr"/>
      <c r="Q261" s="5" t="inlineStr"/>
    </row>
    <row r="262">
      <c r="A262" s="5" t="inlineStr">
        <is>
          <t>SC-02</t>
        </is>
      </c>
      <c r="B262" s="5" t="inlineStr">
        <is>
          <t>Interviewer Scorecard</t>
        </is>
      </c>
      <c r="C262" s="5" t="inlineStr">
        <is>
          <t>Submit</t>
        </is>
      </c>
      <c r="D262" s="5" t="inlineStr">
        <is>
          <t>Final rating is mandatory</t>
        </is>
      </c>
      <c r="E262" s="5" t="inlineStr"/>
      <c r="F262" s="5" t="inlineStr">
        <is>
          <t>1. 'Yes, we met'
2. Rate skills but not the final rating
3. Submit</t>
        </is>
      </c>
      <c r="G262" s="5" t="inlineStr">
        <is>
          <t>'Please give a final rating before submitting.'</t>
        </is>
      </c>
      <c r="H262" s="5" t="inlineStr">
        <is>
          <t>Negative</t>
        </is>
      </c>
      <c r="I262" s="5" t="inlineStr">
        <is>
          <t>P1</t>
        </is>
      </c>
      <c r="J262" s="5" t="inlineStr">
        <is>
          <t>Interviewer (public)</t>
        </is>
      </c>
      <c r="K262" s="5" t="inlineStr">
        <is>
          <t>Automated - UI (fixture)</t>
        </is>
      </c>
      <c r="L262" s="5" t="inlineStr"/>
      <c r="M262" s="5" t="inlineStr">
        <is>
          <t>InterviewScorecard.jsx</t>
        </is>
      </c>
      <c r="N262" s="5" t="inlineStr">
        <is>
          <t>New</t>
        </is>
      </c>
      <c r="O262" s="5" t="inlineStr">
        <is>
          <t>Not Run</t>
        </is>
      </c>
      <c r="P262" s="5" t="inlineStr"/>
      <c r="Q262" s="5" t="inlineStr"/>
    </row>
    <row r="263">
      <c r="A263" s="5" t="inlineStr">
        <is>
          <t>SC-03</t>
        </is>
      </c>
      <c r="B263" s="5" t="inlineStr">
        <is>
          <t>Interviewer Scorecard</t>
        </is>
      </c>
      <c r="C263" s="5" t="inlineStr">
        <is>
          <t>Submit</t>
        </is>
      </c>
      <c r="D263" s="5" t="inlineStr">
        <is>
          <t>Submit a complete scorecard</t>
        </is>
      </c>
      <c r="E263" s="5" t="inlineStr"/>
      <c r="F263" s="5" t="inlineStr">
        <is>
          <t>1. Add skills with ratings and remarks, Communication, Attitude, final rating
2. Submit (double-click)</t>
        </is>
      </c>
      <c r="G263" s="5" t="inlineStr">
        <is>
          <t>'Feedback submitted - This scorecard link is now closed.'; exactly ONE scorecard stored; recruiter sees it in 'Candidate scorecard report'</t>
        </is>
      </c>
      <c r="H263" s="5" t="inlineStr">
        <is>
          <t>Positive</t>
        </is>
      </c>
      <c r="I263" s="5" t="inlineStr">
        <is>
          <t>P1</t>
        </is>
      </c>
      <c r="J263" s="5" t="inlineStr">
        <is>
          <t>Interviewer (public)</t>
        </is>
      </c>
      <c r="K263" s="5" t="inlineStr">
        <is>
          <t>Automated - UI (fixture)</t>
        </is>
      </c>
      <c r="L263" s="5" t="inlineStr"/>
      <c r="M263" s="5" t="inlineStr">
        <is>
          <t>PHASE3-CODE-REVIEW-2026-08-06.md</t>
        </is>
      </c>
      <c r="N263" s="5" t="inlineStr">
        <is>
          <t>New</t>
        </is>
      </c>
      <c r="O263" s="5" t="inlineStr">
        <is>
          <t>Not Run</t>
        </is>
      </c>
      <c r="P263" s="5" t="inlineStr"/>
      <c r="Q263" s="5" t="inlineStr"/>
    </row>
    <row r="264">
      <c r="A264" s="5" t="inlineStr">
        <is>
          <t>SC-04</t>
        </is>
      </c>
      <c r="B264" s="5" t="inlineStr">
        <is>
          <t>Interviewer Scorecard</t>
        </is>
      </c>
      <c r="C264" s="5" t="inlineStr">
        <is>
          <t>Gate</t>
        </is>
      </c>
      <c r="D264" s="5" t="inlineStr">
        <is>
          <t>Interview did not happen</t>
        </is>
      </c>
      <c r="E264" s="5" t="inlineStr"/>
      <c r="F264" s="5" t="inlineStr">
        <is>
          <t>1. 'No - it didn't happen'</t>
        </is>
      </c>
      <c r="G264" s="5" t="inlineStr">
        <is>
          <t>'Recorded - interview did not take place'; booking marked no-show; no scorecard expected</t>
        </is>
      </c>
      <c r="H264" s="5" t="inlineStr">
        <is>
          <t>Positive</t>
        </is>
      </c>
      <c r="I264" s="5" t="inlineStr">
        <is>
          <t>P2</t>
        </is>
      </c>
      <c r="J264" s="5" t="inlineStr">
        <is>
          <t>Interviewer (public)</t>
        </is>
      </c>
      <c r="K264" s="5" t="inlineStr">
        <is>
          <t>Automated - UI (fixture)</t>
        </is>
      </c>
      <c r="L264" s="5" t="inlineStr"/>
      <c r="M264" s="5" t="inlineStr">
        <is>
          <t>InterviewScorecard.jsx</t>
        </is>
      </c>
      <c r="N264" s="5" t="inlineStr">
        <is>
          <t>New</t>
        </is>
      </c>
      <c r="O264" s="5" t="inlineStr">
        <is>
          <t>Not Run</t>
        </is>
      </c>
      <c r="P264" s="5" t="inlineStr"/>
      <c r="Q264" s="5" t="inlineStr"/>
    </row>
    <row r="265">
      <c r="A265" s="5" t="inlineStr">
        <is>
          <t>SC-05</t>
        </is>
      </c>
      <c r="B265" s="5" t="inlineStr">
        <is>
          <t>Interviewer Scorecard</t>
        </is>
      </c>
      <c r="C265" s="5" t="inlineStr">
        <is>
          <t>Link state</t>
        </is>
      </c>
      <c r="D265" s="5" t="inlineStr">
        <is>
          <t>Used / expired / invalid link</t>
        </is>
      </c>
      <c r="E265" s="5" t="inlineStr"/>
      <c r="F265" s="5" t="inlineStr">
        <is>
          <t>1. Re-open a submitted link
2. Open an expired link
3. Open a garbage token</t>
        </is>
      </c>
      <c r="G265" s="5" t="inlineStr">
        <is>
          <t>'Feedback submitted' (closed) / 'This scorecard link has expired' / 'Link unavailable'</t>
        </is>
      </c>
      <c r="H265" s="5" t="inlineStr">
        <is>
          <t>Security</t>
        </is>
      </c>
      <c r="I265" s="5" t="inlineStr">
        <is>
          <t>P2</t>
        </is>
      </c>
      <c r="J265" s="5" t="inlineStr">
        <is>
          <t>Interviewer (public)</t>
        </is>
      </c>
      <c r="K265" s="5" t="inlineStr">
        <is>
          <t>Automated - UI (fixture)</t>
        </is>
      </c>
      <c r="L265" s="5" t="inlineStr"/>
      <c r="M265" s="5" t="inlineStr">
        <is>
          <t>InterviewScorecard.jsx</t>
        </is>
      </c>
      <c r="N265" s="5" t="inlineStr">
        <is>
          <t>New</t>
        </is>
      </c>
      <c r="O265" s="5" t="inlineStr">
        <is>
          <t>Not Run</t>
        </is>
      </c>
      <c r="P265" s="5" t="inlineStr"/>
      <c r="Q265" s="5" t="inlineStr"/>
    </row>
    <row r="266">
      <c r="A266" s="5" t="inlineStr">
        <is>
          <t>SC-06</t>
        </is>
      </c>
      <c r="B266" s="5" t="inlineStr">
        <is>
          <t>Interviewer Scorecard</t>
        </is>
      </c>
      <c r="C266" s="5" t="inlineStr">
        <is>
          <t>HR round</t>
        </is>
      </c>
      <c r="D266" s="5" t="inlineStr">
        <is>
          <t>HR round scorecard fields</t>
        </is>
      </c>
      <c r="E266" s="5" t="inlineStr">
        <is>
          <t>HR Round booking</t>
        </is>
      </c>
      <c r="F266" s="5" t="inlineStr">
        <is>
          <t>1. Open the HR round scorecard</t>
        </is>
      </c>
      <c r="G266" s="5" t="inlineStr">
        <is>
          <t>HR fields present (family background, timings, relocation, notice period, current/expected CTC, strengths, weakness, final feedback)</t>
        </is>
      </c>
      <c r="H266" s="5" t="inlineStr">
        <is>
          <t>Positive</t>
        </is>
      </c>
      <c r="I266" s="5" t="inlineStr">
        <is>
          <t>P3</t>
        </is>
      </c>
      <c r="J266" s="5" t="inlineStr">
        <is>
          <t>Interviewer (public)</t>
        </is>
      </c>
      <c r="K266" s="5" t="inlineStr">
        <is>
          <t>Automated - UI (fixture)</t>
        </is>
      </c>
      <c r="L266" s="5" t="inlineStr"/>
      <c r="M266" s="5" t="inlineStr">
        <is>
          <t>InterviewScorecard.jsx</t>
        </is>
      </c>
      <c r="N266" s="5" t="inlineStr">
        <is>
          <t>New</t>
        </is>
      </c>
      <c r="O266" s="5" t="inlineStr">
        <is>
          <t>Not Run</t>
        </is>
      </c>
      <c r="P266" s="5" t="inlineStr"/>
      <c r="Q266" s="5" t="inlineStr"/>
    </row>
    <row r="267">
      <c r="A267" s="5" t="inlineStr">
        <is>
          <t>MJD-01</t>
        </is>
      </c>
      <c r="B267" s="5" t="inlineStr">
        <is>
          <t>Candidate Missing Data</t>
        </is>
      </c>
      <c r="C267" s="5" t="inlineStr">
        <is>
          <t>Missing data</t>
        </is>
      </c>
      <c r="D267" s="5" t="inlineStr">
        <is>
          <t>Open the missing-data link</t>
        </is>
      </c>
      <c r="E267" s="5" t="inlineStr">
        <is>
          <t>Candidate saved with missing fields; token from DB (fixture)</t>
        </is>
      </c>
      <c r="F267" s="5" t="inlineStr">
        <is>
          <t>1. Open /missing-jd-upload?token=...</t>
        </is>
      </c>
      <c r="G267" s="5" t="inlineStr">
        <is>
          <t>'Complete Your Profile' with only the missing fields</t>
        </is>
      </c>
      <c r="H267" s="5" t="inlineStr">
        <is>
          <t>Positive</t>
        </is>
      </c>
      <c r="I267" s="5" t="inlineStr">
        <is>
          <t>P2</t>
        </is>
      </c>
      <c r="J267" s="5" t="inlineStr">
        <is>
          <t>Candidate (public)</t>
        </is>
      </c>
      <c r="K267" s="5" t="inlineStr">
        <is>
          <t>Automated - UI (fixture)</t>
        </is>
      </c>
      <c r="L267" s="5" t="inlineStr"/>
      <c r="M267" s="5" t="inlineStr">
        <is>
          <t>MissingJdUpload.jsx</t>
        </is>
      </c>
      <c r="N267" s="5" t="inlineStr">
        <is>
          <t>New</t>
        </is>
      </c>
      <c r="O267" s="5" t="inlineStr">
        <is>
          <t>Not Run</t>
        </is>
      </c>
      <c r="P267" s="5" t="inlineStr"/>
      <c r="Q267" s="5" t="inlineStr"/>
    </row>
    <row r="268">
      <c r="A268" s="5" t="inlineStr">
        <is>
          <t>MJD-02</t>
        </is>
      </c>
      <c r="B268" s="5" t="inlineStr">
        <is>
          <t>Candidate Missing Data</t>
        </is>
      </c>
      <c r="C268" s="5" t="inlineStr">
        <is>
          <t>Missing data</t>
        </is>
      </c>
      <c r="D268" s="5" t="inlineStr">
        <is>
          <t>Submit missing fields</t>
        </is>
      </c>
      <c r="E268" s="5" t="inlineStr"/>
      <c r="F268" s="5" t="inlineStr">
        <is>
          <t>1. Fill the fields (attach resume .pdf/.docx if asked)
2. Submit</t>
        </is>
      </c>
      <c r="G268" s="5" t="inlineStr">
        <is>
          <t>'Profile updated - Thank you'; candidate becomes ACTIVE in Search Candidate</t>
        </is>
      </c>
      <c r="H268" s="5" t="inlineStr">
        <is>
          <t>Positive</t>
        </is>
      </c>
      <c r="I268" s="5" t="inlineStr">
        <is>
          <t>P2</t>
        </is>
      </c>
      <c r="J268" s="5" t="inlineStr">
        <is>
          <t>Candidate (public)</t>
        </is>
      </c>
      <c r="K268" s="5" t="inlineStr">
        <is>
          <t>Automated - UI (fixture)</t>
        </is>
      </c>
      <c r="L268" s="5" t="inlineStr"/>
      <c r="M268" s="5" t="inlineStr">
        <is>
          <t>MissingJdUpload.jsx</t>
        </is>
      </c>
      <c r="N268" s="5" t="inlineStr">
        <is>
          <t>New</t>
        </is>
      </c>
      <c r="O268" s="5" t="inlineStr">
        <is>
          <t>Not Run</t>
        </is>
      </c>
      <c r="P268" s="5" t="inlineStr"/>
      <c r="Q268" s="5" t="inlineStr"/>
    </row>
    <row r="269">
      <c r="A269" s="5" t="inlineStr">
        <is>
          <t>MJD-03</t>
        </is>
      </c>
      <c r="B269" s="5" t="inlineStr">
        <is>
          <t>Candidate Missing Data</t>
        </is>
      </c>
      <c r="C269" s="5" t="inlineStr">
        <is>
          <t>Missing data</t>
        </is>
      </c>
      <c r="D269" s="5" t="inlineStr">
        <is>
          <t>Invalid link</t>
        </is>
      </c>
      <c r="E269" s="5" t="inlineStr"/>
      <c r="F269" s="5" t="inlineStr">
        <is>
          <t>1. Open with a bad token</t>
        </is>
      </c>
      <c r="G269" s="5" t="inlineStr">
        <is>
          <t>'Link inactive or invalid'</t>
        </is>
      </c>
      <c r="H269" s="5" t="inlineStr">
        <is>
          <t>Security</t>
        </is>
      </c>
      <c r="I269" s="5" t="inlineStr">
        <is>
          <t>P3</t>
        </is>
      </c>
      <c r="J269" s="5" t="inlineStr">
        <is>
          <t>Candidate (public)</t>
        </is>
      </c>
      <c r="K269" s="5" t="inlineStr">
        <is>
          <t>Automated - UI</t>
        </is>
      </c>
      <c r="L269" s="5" t="inlineStr"/>
      <c r="M269" s="5" t="inlineStr">
        <is>
          <t>MissingJdUpload.jsx</t>
        </is>
      </c>
      <c r="N269" s="5" t="inlineStr">
        <is>
          <t>New</t>
        </is>
      </c>
      <c r="O269" s="5" t="inlineStr">
        <is>
          <t>Not Run</t>
        </is>
      </c>
      <c r="P269" s="5" t="inlineStr"/>
      <c r="Q269" s="5" t="inlineStr"/>
    </row>
    <row r="270">
      <c r="A270" s="5" t="inlineStr">
        <is>
          <t>MJD-04</t>
        </is>
      </c>
      <c r="B270" s="5" t="inlineStr">
        <is>
          <t>Candidate Missing Data</t>
        </is>
      </c>
      <c r="C270" s="5" t="inlineStr">
        <is>
          <t>Missing data</t>
        </is>
      </c>
      <c r="D270" s="5" t="inlineStr">
        <is>
          <t>Nothing left to fill</t>
        </is>
      </c>
      <c r="E270" s="5" t="inlineStr">
        <is>
          <t>Profile already complete</t>
        </is>
      </c>
      <c r="F270" s="5" t="inlineStr">
        <is>
          <t>1. Open the link again</t>
        </is>
      </c>
      <c r="G270" s="5" t="inlineStr">
        <is>
          <t>'Nothing left to fill in - Your profile is already complete.'</t>
        </is>
      </c>
      <c r="H270" s="5" t="inlineStr">
        <is>
          <t>Negative</t>
        </is>
      </c>
      <c r="I270" s="5" t="inlineStr">
        <is>
          <t>P3</t>
        </is>
      </c>
      <c r="J270" s="5" t="inlineStr">
        <is>
          <t>Candidate (public)</t>
        </is>
      </c>
      <c r="K270" s="5" t="inlineStr">
        <is>
          <t>Automated - UI (fixture)</t>
        </is>
      </c>
      <c r="L270" s="5" t="inlineStr"/>
      <c r="M270" s="5" t="inlineStr">
        <is>
          <t>CHANGES-empty-missing-data-token.md</t>
        </is>
      </c>
      <c r="N270" s="5" t="inlineStr">
        <is>
          <t>New</t>
        </is>
      </c>
      <c r="O270" s="5" t="inlineStr">
        <is>
          <t>Not Run</t>
        </is>
      </c>
      <c r="P270" s="5" t="inlineStr"/>
      <c r="Q270" s="5" t="inlineStr"/>
    </row>
    <row r="271">
      <c r="A271" s="5" t="inlineStr">
        <is>
          <t>EML-01</t>
        </is>
      </c>
      <c r="B271" s="5" t="inlineStr">
        <is>
          <t>Email Templates</t>
        </is>
      </c>
      <c r="C271" s="5" t="inlineStr">
        <is>
          <t>List</t>
        </is>
      </c>
      <c r="D271" s="5" t="inlineStr">
        <is>
          <t>Templates list and category filter</t>
        </is>
      </c>
      <c r="E271" s="5" t="inlineStr">
        <is>
          <t>Templates seeded</t>
        </is>
      </c>
      <c r="F271" s="5" t="inlineStr">
        <is>
          <t>1. Open /email
2. Filter by each category</t>
        </is>
      </c>
      <c r="G271" s="5" t="inlineStr">
        <is>
          <t>Categories: All Templates, General / Alerts, Shortlist, Interviews, Stage Outcome, Offer Letter, Rejection, Onboarding, Vendor Updates</t>
        </is>
      </c>
      <c r="H271" s="5" t="inlineStr">
        <is>
          <t>Positive</t>
        </is>
      </c>
      <c r="I271" s="5" t="inlineStr">
        <is>
          <t>P2</t>
        </is>
      </c>
      <c r="J271" s="5" t="inlineStr">
        <is>
          <t>Recruiter</t>
        </is>
      </c>
      <c r="K271" s="5" t="inlineStr">
        <is>
          <t>Automated - UI (fixture)</t>
        </is>
      </c>
      <c r="L271" s="5" t="inlineStr"/>
      <c r="M271" s="5" t="inlineStr">
        <is>
          <t>EmailManagement.jsx</t>
        </is>
      </c>
      <c r="N271" s="5" t="inlineStr">
        <is>
          <t>New</t>
        </is>
      </c>
      <c r="O271" s="5" t="inlineStr">
        <is>
          <t>Not Run</t>
        </is>
      </c>
      <c r="P271" s="5" t="inlineStr"/>
      <c r="Q271" s="5" t="inlineStr"/>
    </row>
    <row r="272">
      <c r="A272" s="5" t="inlineStr">
        <is>
          <t>EML-02</t>
        </is>
      </c>
      <c r="B272" s="5" t="inlineStr">
        <is>
          <t>Email Templates</t>
        </is>
      </c>
      <c r="C272" s="5" t="inlineStr">
        <is>
          <t>Edit</t>
        </is>
      </c>
      <c r="D272" s="5" t="inlineStr">
        <is>
          <t>Edit and save a template</t>
        </is>
      </c>
      <c r="E272" s="5" t="inlineStr"/>
      <c r="F272" s="5" t="inlineStr">
        <is>
          <t>1. Open a template
2. Change wording (keep placeholders)
3. Save</t>
        </is>
      </c>
      <c r="G272" s="5" t="inlineStr">
        <is>
          <t>'Template saved successfully!'; next outcome preview uses the new wording</t>
        </is>
      </c>
      <c r="H272" s="5" t="inlineStr">
        <is>
          <t>Positive</t>
        </is>
      </c>
      <c r="I272" s="5" t="inlineStr">
        <is>
          <t>P1</t>
        </is>
      </c>
      <c r="J272" s="5" t="inlineStr">
        <is>
          <t>Recruiter</t>
        </is>
      </c>
      <c r="K272" s="5" t="inlineStr">
        <is>
          <t>Automated - UI (fixture)</t>
        </is>
      </c>
      <c r="L272" s="5" t="inlineStr"/>
      <c r="M272" s="5" t="inlineStr">
        <is>
          <t>EmailManagement.jsx</t>
        </is>
      </c>
      <c r="N272" s="5" t="inlineStr">
        <is>
          <t>New</t>
        </is>
      </c>
      <c r="O272" s="5" t="inlineStr">
        <is>
          <t>Not Run</t>
        </is>
      </c>
      <c r="P272" s="5" t="inlineStr"/>
      <c r="Q272" s="5" t="inlineStr"/>
    </row>
    <row r="273">
      <c r="A273" s="5" t="inlineStr">
        <is>
          <t>EML-03</t>
        </is>
      </c>
      <c r="B273" s="5" t="inlineStr">
        <is>
          <t>Email Templates</t>
        </is>
      </c>
      <c r="C273" s="5" t="inlineStr">
        <is>
          <t>Edit</t>
        </is>
      </c>
      <c r="D273" s="5" t="inlineStr">
        <is>
          <t>Mandatory placeholder removed</t>
        </is>
      </c>
      <c r="E273" s="5" t="inlineStr"/>
      <c r="F273" s="5" t="inlineStr">
        <is>
          <t>1. Delete a mandatory placeholder (e.g. candidate name)
2. Save</t>
        </is>
      </c>
      <c r="G273" s="5" t="inlineStr">
        <is>
          <t>'Cannot save: Missing mandatory placeholders.'</t>
        </is>
      </c>
      <c r="H273" s="5" t="inlineStr">
        <is>
          <t>Negative</t>
        </is>
      </c>
      <c r="I273" s="5" t="inlineStr">
        <is>
          <t>P1</t>
        </is>
      </c>
      <c r="J273" s="5" t="inlineStr">
        <is>
          <t>Recruiter</t>
        </is>
      </c>
      <c r="K273" s="5" t="inlineStr">
        <is>
          <t>Automated - UI (fixture)</t>
        </is>
      </c>
      <c r="L273" s="5" t="inlineStr"/>
      <c r="M273" s="5" t="inlineStr">
        <is>
          <t>EmailManagement.jsx</t>
        </is>
      </c>
      <c r="N273" s="5" t="inlineStr">
        <is>
          <t>New</t>
        </is>
      </c>
      <c r="O273" s="5" t="inlineStr">
        <is>
          <t>Not Run</t>
        </is>
      </c>
      <c r="P273" s="5" t="inlineStr"/>
      <c r="Q273" s="5" t="inlineStr"/>
    </row>
    <row r="274">
      <c r="A274" s="5" t="inlineStr">
        <is>
          <t>EML-04</t>
        </is>
      </c>
      <c r="B274" s="5" t="inlineStr">
        <is>
          <t>Email Templates</t>
        </is>
      </c>
      <c r="C274" s="5" t="inlineStr">
        <is>
          <t>Create</t>
        </is>
      </c>
      <c r="D274" s="5" t="inlineStr">
        <is>
          <t>New Template is admin-only</t>
        </is>
      </c>
      <c r="E274" s="5" t="inlineStr"/>
      <c r="F274" s="5" t="inlineStr">
        <is>
          <t>1. As Admin: New Template &gt; fill &gt; 'Create Template'
2. As Recruiter: look for the button</t>
        </is>
      </c>
      <c r="G274" s="5" t="inlineStr">
        <is>
          <t>Admin creates it; recruiter has no button and API POST /api/email/templates returns 403</t>
        </is>
      </c>
      <c r="H274" s="5" t="inlineStr">
        <is>
          <t>Security</t>
        </is>
      </c>
      <c r="I274" s="5" t="inlineStr">
        <is>
          <t>P2</t>
        </is>
      </c>
      <c r="J274" s="5" t="inlineStr">
        <is>
          <t>Admin / Recruiter</t>
        </is>
      </c>
      <c r="K274" s="5" t="inlineStr">
        <is>
          <t>Automated - UI (fixture)</t>
        </is>
      </c>
      <c r="L274" s="5" t="inlineStr"/>
      <c r="M274" s="5" t="inlineStr">
        <is>
          <t>emailTemplate.routes.js</t>
        </is>
      </c>
      <c r="N274" s="5" t="inlineStr">
        <is>
          <t>New</t>
        </is>
      </c>
      <c r="O274" s="5" t="inlineStr">
        <is>
          <t>Not Run</t>
        </is>
      </c>
      <c r="P274" s="5" t="inlineStr"/>
      <c r="Q274" s="5" t="inlineStr"/>
    </row>
    <row r="275">
      <c r="A275" s="5" t="inlineStr">
        <is>
          <t>EML-05</t>
        </is>
      </c>
      <c r="B275" s="5" t="inlineStr">
        <is>
          <t>Email Templates</t>
        </is>
      </c>
      <c r="C275" s="5" t="inlineStr">
        <is>
          <t>Copy</t>
        </is>
      </c>
      <c r="D275" s="5" t="inlineStr">
        <is>
          <t>Copy template HTML</t>
        </is>
      </c>
      <c r="E275" s="5" t="inlineStr"/>
      <c r="F275" s="5" t="inlineStr">
        <is>
          <t>1. Copy HTML</t>
        </is>
      </c>
      <c r="G275" s="5" t="inlineStr">
        <is>
          <t>'Email HTML copied to clipboard.'</t>
        </is>
      </c>
      <c r="H275" s="5" t="inlineStr">
        <is>
          <t>Positive</t>
        </is>
      </c>
      <c r="I275" s="5" t="inlineStr">
        <is>
          <t>P3</t>
        </is>
      </c>
      <c r="J275" s="5" t="inlineStr">
        <is>
          <t>Recruiter</t>
        </is>
      </c>
      <c r="K275" s="5" t="inlineStr">
        <is>
          <t>Automated - UI (fixture)</t>
        </is>
      </c>
      <c r="L275" s="5" t="inlineStr"/>
      <c r="M275" s="5" t="inlineStr">
        <is>
          <t>EmailManagement.jsx</t>
        </is>
      </c>
      <c r="N275" s="5" t="inlineStr">
        <is>
          <t>New</t>
        </is>
      </c>
      <c r="O275" s="5" t="inlineStr">
        <is>
          <t>Not Run</t>
        </is>
      </c>
      <c r="P275" s="5" t="inlineStr"/>
      <c r="Q275" s="5" t="inlineStr"/>
    </row>
    <row r="276">
      <c r="A276" s="5" t="inlineStr">
        <is>
          <t>SET-01</t>
        </is>
      </c>
      <c r="B276" s="5" t="inlineStr">
        <is>
          <t>Settings &amp; Configuration</t>
        </is>
      </c>
      <c r="C276" s="5" t="inlineStr">
        <is>
          <t>Theme</t>
        </is>
      </c>
      <c r="D276" s="5" t="inlineStr">
        <is>
          <t>Theme switch persists</t>
        </is>
      </c>
      <c r="E276" s="5" t="inlineStr"/>
      <c r="F276" s="5" t="inlineStr">
        <is>
          <t>1. Settings &gt; Theme: Dark
2. Reload
3. Switch to System and emulate OS dark/light</t>
        </is>
      </c>
      <c r="G276" s="5" t="inlineStr">
        <is>
          <t>&lt;html data-theme&gt; follows the choice; survives reload (localStorage ats_theme); no flash of the wrong theme</t>
        </is>
      </c>
      <c r="H276" s="5" t="inlineStr">
        <is>
          <t>Positive</t>
        </is>
      </c>
      <c r="I276" s="5" t="inlineStr">
        <is>
          <t>P3</t>
        </is>
      </c>
      <c r="J276" s="5" t="inlineStr">
        <is>
          <t>Any</t>
        </is>
      </c>
      <c r="K276" s="5" t="inlineStr">
        <is>
          <t>Automated - UI</t>
        </is>
      </c>
      <c r="L276" s="5" t="inlineStr"/>
      <c r="M276" s="5" t="inlineStr">
        <is>
          <t>frontend/.claude/skills/verify/SKILL.md</t>
        </is>
      </c>
      <c r="N276" s="5" t="inlineStr">
        <is>
          <t>New</t>
        </is>
      </c>
      <c r="O276" s="5" t="inlineStr">
        <is>
          <t>Not Run</t>
        </is>
      </c>
      <c r="P276" s="5" t="inlineStr"/>
      <c r="Q276" s="5" t="inlineStr"/>
    </row>
    <row r="277">
      <c r="A277" s="5" t="inlineStr">
        <is>
          <t>SET-02</t>
        </is>
      </c>
      <c r="B277" s="5" t="inlineStr">
        <is>
          <t>Settings &amp; Configuration</t>
        </is>
      </c>
      <c r="C277" s="5" t="inlineStr">
        <is>
          <t>Reminders</t>
        </is>
      </c>
      <c r="D277" s="5" t="inlineStr">
        <is>
          <t>Save reminder settings</t>
        </is>
      </c>
      <c r="E277" s="5" t="inlineStr"/>
      <c r="F277" s="5" t="inlineStr">
        <is>
          <t>1. Change reminder values
2. Save</t>
        </is>
      </c>
      <c r="G277" s="5" t="inlineStr">
        <is>
          <t>'Settings updated successfully!'; values persist after reload</t>
        </is>
      </c>
      <c r="H277" s="5" t="inlineStr">
        <is>
          <t>Positive</t>
        </is>
      </c>
      <c r="I277" s="5" t="inlineStr">
        <is>
          <t>P2</t>
        </is>
      </c>
      <c r="J277" s="5" t="inlineStr">
        <is>
          <t>Admin</t>
        </is>
      </c>
      <c r="K277" s="5" t="inlineStr">
        <is>
          <t>Automated - UI (fixture)</t>
        </is>
      </c>
      <c r="L277" s="5" t="inlineStr"/>
      <c r="M277" s="5" t="inlineStr">
        <is>
          <t>Settings.jsx</t>
        </is>
      </c>
      <c r="N277" s="5" t="inlineStr">
        <is>
          <t>New</t>
        </is>
      </c>
      <c r="O277" s="5" t="inlineStr">
        <is>
          <t>Not Run</t>
        </is>
      </c>
      <c r="P277" s="5" t="inlineStr"/>
      <c r="Q277" s="5" t="inlineStr"/>
    </row>
    <row r="278">
      <c r="A278" s="5" t="inlineStr">
        <is>
          <t>SET-03</t>
        </is>
      </c>
      <c r="B278" s="5" t="inlineStr">
        <is>
          <t>Settings &amp; Configuration</t>
        </is>
      </c>
      <c r="C278" s="5" t="inlineStr">
        <is>
          <t>Assessment</t>
        </is>
      </c>
      <c r="D278" s="5" t="inlineStr">
        <is>
          <t>Save assessment automation</t>
        </is>
      </c>
      <c r="E278" s="5" t="inlineStr"/>
      <c r="F278" s="5" t="inlineStr">
        <is>
          <t>1. Change pass mark / auto-advance
2. Save</t>
        </is>
      </c>
      <c r="G278" s="5" t="inlineStr">
        <is>
          <t>'Assessment automation settings updated successfully!'</t>
        </is>
      </c>
      <c r="H278" s="5" t="inlineStr">
        <is>
          <t>Positive</t>
        </is>
      </c>
      <c r="I278" s="5" t="inlineStr">
        <is>
          <t>P2</t>
        </is>
      </c>
      <c r="J278" s="5" t="inlineStr">
        <is>
          <t>Admin</t>
        </is>
      </c>
      <c r="K278" s="5" t="inlineStr">
        <is>
          <t>Automated - UI (fixture)</t>
        </is>
      </c>
      <c r="L278" s="5" t="inlineStr"/>
      <c r="M278" s="5" t="inlineStr">
        <is>
          <t>Settings.jsx</t>
        </is>
      </c>
      <c r="N278" s="5" t="inlineStr">
        <is>
          <t>New</t>
        </is>
      </c>
      <c r="O278" s="5" t="inlineStr">
        <is>
          <t>Not Run</t>
        </is>
      </c>
      <c r="P278" s="5" t="inlineStr"/>
      <c r="Q278" s="5" t="inlineStr"/>
    </row>
    <row r="279">
      <c r="A279" s="5" t="inlineStr">
        <is>
          <t>SET-04</t>
        </is>
      </c>
      <c r="B279" s="5" t="inlineStr">
        <is>
          <t>Settings &amp; Configuration</t>
        </is>
      </c>
      <c r="C279" s="5" t="inlineStr">
        <is>
          <t>Interviews</t>
        </is>
      </c>
      <c r="D279" s="5" t="inlineStr">
        <is>
          <t>Interview reminder / completion check / recording settings</t>
        </is>
      </c>
      <c r="E279" s="5" t="inlineStr"/>
      <c r="F279" s="5" t="inlineStr">
        <is>
          <t>1. Change each section
2. Save
3. Reload</t>
        </is>
      </c>
      <c r="G279" s="5" t="inlineStr">
        <is>
          <t>Each section saves and reloads its values</t>
        </is>
      </c>
      <c r="H279" s="5" t="inlineStr">
        <is>
          <t>Positive</t>
        </is>
      </c>
      <c r="I279" s="5" t="inlineStr">
        <is>
          <t>P3</t>
        </is>
      </c>
      <c r="J279" s="5" t="inlineStr">
        <is>
          <t>Admin</t>
        </is>
      </c>
      <c r="K279" s="5" t="inlineStr">
        <is>
          <t>Automated - UI (fixture)</t>
        </is>
      </c>
      <c r="L279" s="5" t="inlineStr"/>
      <c r="M279" s="5" t="inlineStr">
        <is>
          <t>settings.routes.js</t>
        </is>
      </c>
      <c r="N279" s="5" t="inlineStr">
        <is>
          <t>New</t>
        </is>
      </c>
      <c r="O279" s="5" t="inlineStr">
        <is>
          <t>Not Run</t>
        </is>
      </c>
      <c r="P279" s="5" t="inlineStr"/>
      <c r="Q279" s="5" t="inlineStr"/>
    </row>
    <row r="280">
      <c r="A280" s="5" t="inlineStr">
        <is>
          <t>SET-05</t>
        </is>
      </c>
      <c r="B280" s="5" t="inlineStr">
        <is>
          <t>Settings &amp; Configuration</t>
        </is>
      </c>
      <c r="C280" s="5" t="inlineStr">
        <is>
          <t>Pipeline Configuration</t>
        </is>
      </c>
      <c r="D280" s="5" t="inlineStr">
        <is>
          <t>Reorder stages</t>
        </is>
      </c>
      <c r="E280" s="5" t="inlineStr">
        <is>
          <t>Admin</t>
        </is>
      </c>
      <c r="F280" s="5" t="inlineStr">
        <is>
          <t>1. Pipeline Configuration &gt; 'Move stage down' on a stage
2. Open /pipeline</t>
        </is>
      </c>
      <c r="G280" s="5" t="inlineStr">
        <is>
          <t>Board column order follows the new order</t>
        </is>
      </c>
      <c r="H280" s="5" t="inlineStr">
        <is>
          <t>Positive</t>
        </is>
      </c>
      <c r="I280" s="5" t="inlineStr">
        <is>
          <t>P2</t>
        </is>
      </c>
      <c r="J280" s="5" t="inlineStr">
        <is>
          <t>Admin</t>
        </is>
      </c>
      <c r="K280" s="5" t="inlineStr">
        <is>
          <t>Automated - UI (fixture)</t>
        </is>
      </c>
      <c r="L280" s="5" t="inlineStr"/>
      <c r="M280" s="5" t="inlineStr">
        <is>
          <t>PipelineConfigPanel.jsx</t>
        </is>
      </c>
      <c r="N280" s="5" t="inlineStr">
        <is>
          <t>New</t>
        </is>
      </c>
      <c r="O280" s="5" t="inlineStr">
        <is>
          <t>Not Run</t>
        </is>
      </c>
      <c r="P280" s="5" t="inlineStr"/>
      <c r="Q280" s="5" t="inlineStr"/>
    </row>
    <row r="281">
      <c r="A281" s="5" t="inlineStr">
        <is>
          <t>SET-06</t>
        </is>
      </c>
      <c r="B281" s="5" t="inlineStr">
        <is>
          <t>Settings &amp; Configuration</t>
        </is>
      </c>
      <c r="C281" s="5" t="inlineStr">
        <is>
          <t>Pipeline Configuration</t>
        </is>
      </c>
      <c r="D281" s="5" t="inlineStr">
        <is>
          <t>Add a rejection reason</t>
        </is>
      </c>
      <c r="E281" s="5" t="inlineStr"/>
      <c r="F281" s="5" t="inlineStr">
        <is>
          <t>1. Add a reason to a stage's Reject outcome
2. Record a Reject at that stage</t>
        </is>
      </c>
      <c r="G281" s="5" t="inlineStr">
        <is>
          <t>New reason appears in the outcome modal</t>
        </is>
      </c>
      <c r="H281" s="5" t="inlineStr">
        <is>
          <t>Positive</t>
        </is>
      </c>
      <c r="I281" s="5" t="inlineStr">
        <is>
          <t>P2</t>
        </is>
      </c>
      <c r="J281" s="5" t="inlineStr">
        <is>
          <t>Admin</t>
        </is>
      </c>
      <c r="K281" s="5" t="inlineStr">
        <is>
          <t>Automated - UI (fixture)</t>
        </is>
      </c>
      <c r="L281" s="5" t="inlineStr"/>
      <c r="M281" s="5" t="inlineStr">
        <is>
          <t>PipelineConfigPanel.jsx</t>
        </is>
      </c>
      <c r="N281" s="5" t="inlineStr">
        <is>
          <t>New</t>
        </is>
      </c>
      <c r="O281" s="5" t="inlineStr">
        <is>
          <t>Not Run</t>
        </is>
      </c>
      <c r="P281" s="5" t="inlineStr"/>
      <c r="Q281" s="5" t="inlineStr"/>
    </row>
    <row r="282">
      <c r="A282" s="5" t="inlineStr">
        <is>
          <t>SET-07</t>
        </is>
      </c>
      <c r="B282" s="5" t="inlineStr">
        <is>
          <t>Settings &amp; Configuration</t>
        </is>
      </c>
      <c r="C282" s="5" t="inlineStr">
        <is>
          <t>Pipeline Configuration</t>
        </is>
      </c>
      <c r="D282" s="5" t="inlineStr">
        <is>
          <t>Outcome Emails mapping</t>
        </is>
      </c>
      <c r="E282" s="5" t="inlineStr"/>
      <c r="F282" s="5" t="inlineStr">
        <is>
          <t>1. Outcome Emails tab
2. Map a template to stage + outcome</t>
        </is>
      </c>
      <c r="G282" s="5" t="inlineStr">
        <is>
          <t>Grid lists every stage x outcome incl. unmapped pairs; mapping used by the next outcome email preview</t>
        </is>
      </c>
      <c r="H282" s="5" t="inlineStr">
        <is>
          <t>Positive</t>
        </is>
      </c>
      <c r="I282" s="5" t="inlineStr">
        <is>
          <t>P3</t>
        </is>
      </c>
      <c r="J282" s="5" t="inlineStr">
        <is>
          <t>Admin</t>
        </is>
      </c>
      <c r="K282" s="5" t="inlineStr">
        <is>
          <t>Automated - UI (fixture)</t>
        </is>
      </c>
      <c r="L282" s="5" t="inlineStr"/>
      <c r="M282" s="5" t="inlineStr">
        <is>
          <t>CHANGES-phase3-m6-vendor.md</t>
        </is>
      </c>
      <c r="N282" s="5" t="inlineStr">
        <is>
          <t>New</t>
        </is>
      </c>
      <c r="O282" s="5" t="inlineStr">
        <is>
          <t>Not Run</t>
        </is>
      </c>
      <c r="P282" s="5" t="inlineStr"/>
      <c r="Q282" s="5" t="inlineStr"/>
    </row>
    <row r="283">
      <c r="A283" s="5" t="inlineStr">
        <is>
          <t>SET-08</t>
        </is>
      </c>
      <c r="B283" s="5" t="inlineStr">
        <is>
          <t>Settings &amp; Configuration</t>
        </is>
      </c>
      <c r="C283" s="5" t="inlineStr">
        <is>
          <t>Pipeline Configuration</t>
        </is>
      </c>
      <c r="D283" s="5" t="inlineStr">
        <is>
          <t>Email Routing (flow keys)</t>
        </is>
      </c>
      <c r="E283" s="5" t="inlineStr"/>
      <c r="F283" s="5" t="inlineStr">
        <is>
          <t>1. Email Routing tab
2. Edit a flow key's To/CC
3. Save</t>
        </is>
      </c>
      <c r="G283" s="5" t="inlineStr">
        <is>
          <t>Saved and applied without restart; 'dynamic' / 'redirectExempt' indicators shown</t>
        </is>
      </c>
      <c r="H283" s="5" t="inlineStr">
        <is>
          <t>Positive</t>
        </is>
      </c>
      <c r="I283" s="5" t="inlineStr">
        <is>
          <t>P3</t>
        </is>
      </c>
      <c r="J283" s="5" t="inlineStr">
        <is>
          <t>Admin</t>
        </is>
      </c>
      <c r="K283" s="5" t="inlineStr">
        <is>
          <t>Automated - UI (fixture)</t>
        </is>
      </c>
      <c r="L283" s="5" t="inlineStr"/>
      <c r="M283" s="5" t="inlineStr">
        <is>
          <t>settings.routes.js flow-keys</t>
        </is>
      </c>
      <c r="N283" s="5" t="inlineStr">
        <is>
          <t>New</t>
        </is>
      </c>
      <c r="O283" s="5" t="inlineStr">
        <is>
          <t>Not Run</t>
        </is>
      </c>
      <c r="P283" s="5" t="inlineStr"/>
      <c r="Q283" s="5" t="inlineStr"/>
    </row>
    <row r="284">
      <c r="A284" s="5" t="inlineStr">
        <is>
          <t>SET-09</t>
        </is>
      </c>
      <c r="B284" s="5" t="inlineStr">
        <is>
          <t>Settings &amp; Configuration</t>
        </is>
      </c>
      <c r="C284" s="5" t="inlineStr">
        <is>
          <t>Pipeline Configuration</t>
        </is>
      </c>
      <c r="D284" s="5" t="inlineStr">
        <is>
          <t>Recruiter cannot configure the pipeline</t>
        </is>
      </c>
      <c r="E284" s="5" t="inlineStr">
        <is>
          <t>Recruiter</t>
        </is>
      </c>
      <c r="F284" s="5" t="inlineStr">
        <is>
          <t>1. Open Settings</t>
        </is>
      </c>
      <c r="G284" s="5" t="inlineStr">
        <is>
          <t>Pipeline Configuration panel not shown</t>
        </is>
      </c>
      <c r="H284" s="5" t="inlineStr">
        <is>
          <t>Security</t>
        </is>
      </c>
      <c r="I284" s="5" t="inlineStr">
        <is>
          <t>P2</t>
        </is>
      </c>
      <c r="J284" s="5" t="inlineStr">
        <is>
          <t>Recruiter</t>
        </is>
      </c>
      <c r="K284" s="5" t="inlineStr">
        <is>
          <t>Automated - UI (fixture)</t>
        </is>
      </c>
      <c r="L284" s="5" t="inlineStr"/>
      <c r="M284" s="5" t="inlineStr">
        <is>
          <t>Settings.jsx</t>
        </is>
      </c>
      <c r="N284" s="5" t="inlineStr">
        <is>
          <t>New</t>
        </is>
      </c>
      <c r="O284" s="5" t="inlineStr">
        <is>
          <t>Not Run</t>
        </is>
      </c>
      <c r="P284" s="5" t="inlineStr"/>
      <c r="Q284" s="5" t="inlineStr"/>
    </row>
  </sheetData>
  <autoFilter ref="A1:Q284"/>
  <conditionalFormatting sqref="A2:Q284">
    <cfRule type="expression" priority="1" dxfId="0">
      <formula>$O2="Pass"</formula>
    </cfRule>
    <cfRule type="expression" priority="2" dxfId="1">
      <formula>$O2="Fail"</formula>
    </cfRule>
    <cfRule type="expression" priority="3" dxfId="2">
      <formula>$O2="Blocked"</formula>
    </cfRule>
  </conditionalFormatting>
  <dataValidations count="1">
    <dataValidation sqref="O2:O284" showDropDown="0" showInputMessage="0" showErrorMessage="0" allowBlank="1" type="list">
      <formula1>"Not Run,Pass,Fail,Blocked,Skipped"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45" customHeight="1">
      <c r="A1" s="4" t="inlineStr">
        <is>
          <t>Module</t>
        </is>
      </c>
      <c r="B1" s="4" t="inlineStr">
        <is>
          <t>Total</t>
        </is>
      </c>
      <c r="C1" s="4" t="inlineStr">
        <is>
          <t>P1</t>
        </is>
      </c>
      <c r="D1" s="4" t="inlineStr">
        <is>
          <t>Automated - UI</t>
        </is>
      </c>
      <c r="E1" s="4" t="inlineStr">
        <is>
          <t>Automated - UI (fixture)</t>
        </is>
      </c>
      <c r="F1" s="4" t="inlineStr">
        <is>
          <t>Automated - API</t>
        </is>
      </c>
      <c r="G1" s="4" t="inlineStr">
        <is>
          <t>Manual - External</t>
        </is>
      </c>
      <c r="H1" s="4" t="inlineStr">
        <is>
          <t>Manual - Scheduled job</t>
        </is>
      </c>
      <c r="I1" s="4" t="inlineStr">
        <is>
          <t>Manual - Exploratory</t>
        </is>
      </c>
      <c r="J1" s="4" t="inlineStr">
        <is>
          <t>Automatable</t>
        </is>
      </c>
      <c r="K1" s="4" t="inlineStr">
        <is>
          <t>Automatable %</t>
        </is>
      </c>
      <c r="L1" s="4" t="inlineStr">
        <is>
          <t>Pass</t>
        </is>
      </c>
      <c r="M1" s="4" t="inlineStr">
        <is>
          <t>Fail</t>
        </is>
      </c>
      <c r="N1" s="4" t="inlineStr">
        <is>
          <t>Not Run</t>
        </is>
      </c>
    </row>
    <row r="2">
      <c r="A2" t="inlineStr">
        <is>
          <t>HR Manual Upload</t>
        </is>
      </c>
      <c r="B2">
        <f>COUNTIF('Test Cases'!$B$2:$B$284,$A2)</f>
        <v/>
      </c>
      <c r="C2">
        <f>COUNTIFS('Test Cases'!$B$2:$B$284,$A2,'Test Cases'!$I$2:$I$284,"P1")</f>
        <v/>
      </c>
      <c r="D2">
        <f>COUNTIFS('Test Cases'!$B$2:$B$284,$A2,'Test Cases'!$K$2:$K$284,"Automated - UI")</f>
        <v/>
      </c>
      <c r="E2">
        <f>COUNTIFS('Test Cases'!$B$2:$B$284,$A2,'Test Cases'!$K$2:$K$284,"Automated - UI (fixture)")</f>
        <v/>
      </c>
      <c r="F2">
        <f>COUNTIFS('Test Cases'!$B$2:$B$284,$A2,'Test Cases'!$K$2:$K$284,"Automated - API")</f>
        <v/>
      </c>
      <c r="G2">
        <f>COUNTIFS('Test Cases'!$B$2:$B$284,$A2,'Test Cases'!$K$2:$K$284,"Manual - External")</f>
        <v/>
      </c>
      <c r="H2">
        <f>COUNTIFS('Test Cases'!$B$2:$B$284,$A2,'Test Cases'!$K$2:$K$284,"Manual - Scheduled job")</f>
        <v/>
      </c>
      <c r="I2">
        <f>COUNTIFS('Test Cases'!$B$2:$B$284,$A2,'Test Cases'!$K$2:$K$284,"Manual - Exploratory")</f>
        <v/>
      </c>
      <c r="J2">
        <f>D2+E2+F2</f>
        <v/>
      </c>
      <c r="K2" s="6">
        <f>IF(B2=0,0,J2/B2)</f>
        <v/>
      </c>
      <c r="L2">
        <f>COUNTIFS('Test Cases'!$B$2:$B$284,$A2,'Test Cases'!$O$2:$O$284,"Pass")</f>
        <v/>
      </c>
      <c r="M2">
        <f>COUNTIFS('Test Cases'!$B$2:$B$284,$A2,'Test Cases'!$O$2:$O$284,"Fail")</f>
        <v/>
      </c>
      <c r="N2">
        <f>COUNTIFS('Test Cases'!$B$2:$B$284,$A2,'Test Cases'!$O$2:$O$284,"Not Run")</f>
        <v/>
      </c>
    </row>
    <row r="3">
      <c r="A3" t="inlineStr">
        <is>
          <t>Candidate Screening</t>
        </is>
      </c>
      <c r="B3">
        <f>COUNTIF('Test Cases'!$B$2:$B$284,$A3)</f>
        <v/>
      </c>
      <c r="C3">
        <f>COUNTIFS('Test Cases'!$B$2:$B$284,$A3,'Test Cases'!$I$2:$I$284,"P1")</f>
        <v/>
      </c>
      <c r="D3">
        <f>COUNTIFS('Test Cases'!$B$2:$B$284,$A3,'Test Cases'!$K$2:$K$284,"Automated - UI")</f>
        <v/>
      </c>
      <c r="E3">
        <f>COUNTIFS('Test Cases'!$B$2:$B$284,$A3,'Test Cases'!$K$2:$K$284,"Automated - UI (fixture)")</f>
        <v/>
      </c>
      <c r="F3">
        <f>COUNTIFS('Test Cases'!$B$2:$B$284,$A3,'Test Cases'!$K$2:$K$284,"Automated - API")</f>
        <v/>
      </c>
      <c r="G3">
        <f>COUNTIFS('Test Cases'!$B$2:$B$284,$A3,'Test Cases'!$K$2:$K$284,"Manual - External")</f>
        <v/>
      </c>
      <c r="H3">
        <f>COUNTIFS('Test Cases'!$B$2:$B$284,$A3,'Test Cases'!$K$2:$K$284,"Manual - Scheduled job")</f>
        <v/>
      </c>
      <c r="I3">
        <f>COUNTIFS('Test Cases'!$B$2:$B$284,$A3,'Test Cases'!$K$2:$K$284,"Manual - Exploratory")</f>
        <v/>
      </c>
      <c r="J3">
        <f>D3+E3+F3</f>
        <v/>
      </c>
      <c r="K3" s="6">
        <f>IF(B3=0,0,J3/B3)</f>
        <v/>
      </c>
      <c r="L3">
        <f>COUNTIFS('Test Cases'!$B$2:$B$284,$A3,'Test Cases'!$O$2:$O$284,"Pass")</f>
        <v/>
      </c>
      <c r="M3">
        <f>COUNTIFS('Test Cases'!$B$2:$B$284,$A3,'Test Cases'!$O$2:$O$284,"Fail")</f>
        <v/>
      </c>
      <c r="N3">
        <f>COUNTIFS('Test Cases'!$B$2:$B$284,$A3,'Test Cases'!$O$2:$O$284,"Not Run")</f>
        <v/>
      </c>
    </row>
    <row r="4">
      <c r="A4" t="inlineStr">
        <is>
          <t>Candidate Pipeline</t>
        </is>
      </c>
      <c r="B4">
        <f>COUNTIF('Test Cases'!$B$2:$B$284,$A4)</f>
        <v/>
      </c>
      <c r="C4">
        <f>COUNTIFS('Test Cases'!$B$2:$B$284,$A4,'Test Cases'!$I$2:$I$284,"P1")</f>
        <v/>
      </c>
      <c r="D4">
        <f>COUNTIFS('Test Cases'!$B$2:$B$284,$A4,'Test Cases'!$K$2:$K$284,"Automated - UI")</f>
        <v/>
      </c>
      <c r="E4">
        <f>COUNTIFS('Test Cases'!$B$2:$B$284,$A4,'Test Cases'!$K$2:$K$284,"Automated - UI (fixture)")</f>
        <v/>
      </c>
      <c r="F4">
        <f>COUNTIFS('Test Cases'!$B$2:$B$284,$A4,'Test Cases'!$K$2:$K$284,"Automated - API")</f>
        <v/>
      </c>
      <c r="G4">
        <f>COUNTIFS('Test Cases'!$B$2:$B$284,$A4,'Test Cases'!$K$2:$K$284,"Manual - External")</f>
        <v/>
      </c>
      <c r="H4">
        <f>COUNTIFS('Test Cases'!$B$2:$B$284,$A4,'Test Cases'!$K$2:$K$284,"Manual - Scheduled job")</f>
        <v/>
      </c>
      <c r="I4">
        <f>COUNTIFS('Test Cases'!$B$2:$B$284,$A4,'Test Cases'!$K$2:$K$284,"Manual - Exploratory")</f>
        <v/>
      </c>
      <c r="J4">
        <f>D4+E4+F4</f>
        <v/>
      </c>
      <c r="K4" s="6">
        <f>IF(B4=0,0,J4/B4)</f>
        <v/>
      </c>
      <c r="L4">
        <f>COUNTIFS('Test Cases'!$B$2:$B$284,$A4,'Test Cases'!$O$2:$O$284,"Pass")</f>
        <v/>
      </c>
      <c r="M4">
        <f>COUNTIFS('Test Cases'!$B$2:$B$284,$A4,'Test Cases'!$O$2:$O$284,"Fail")</f>
        <v/>
      </c>
      <c r="N4">
        <f>COUNTIFS('Test Cases'!$B$2:$B$284,$A4,'Test Cases'!$O$2:$O$284,"Not Run")</f>
        <v/>
      </c>
    </row>
    <row r="5">
      <c r="A5" t="inlineStr">
        <is>
          <t>Zeko HR Screening</t>
        </is>
      </c>
      <c r="B5">
        <f>COUNTIF('Test Cases'!$B$2:$B$284,$A5)</f>
        <v/>
      </c>
      <c r="C5">
        <f>COUNTIFS('Test Cases'!$B$2:$B$284,$A5,'Test Cases'!$I$2:$I$284,"P1")</f>
        <v/>
      </c>
      <c r="D5">
        <f>COUNTIFS('Test Cases'!$B$2:$B$284,$A5,'Test Cases'!$K$2:$K$284,"Automated - UI")</f>
        <v/>
      </c>
      <c r="E5">
        <f>COUNTIFS('Test Cases'!$B$2:$B$284,$A5,'Test Cases'!$K$2:$K$284,"Automated - UI (fixture)")</f>
        <v/>
      </c>
      <c r="F5">
        <f>COUNTIFS('Test Cases'!$B$2:$B$284,$A5,'Test Cases'!$K$2:$K$284,"Automated - API")</f>
        <v/>
      </c>
      <c r="G5">
        <f>COUNTIFS('Test Cases'!$B$2:$B$284,$A5,'Test Cases'!$K$2:$K$284,"Manual - External")</f>
        <v/>
      </c>
      <c r="H5">
        <f>COUNTIFS('Test Cases'!$B$2:$B$284,$A5,'Test Cases'!$K$2:$K$284,"Manual - Scheduled job")</f>
        <v/>
      </c>
      <c r="I5">
        <f>COUNTIFS('Test Cases'!$B$2:$B$284,$A5,'Test Cases'!$K$2:$K$284,"Manual - Exploratory")</f>
        <v/>
      </c>
      <c r="J5">
        <f>D5+E5+F5</f>
        <v/>
      </c>
      <c r="K5" s="6">
        <f>IF(B5=0,0,J5/B5)</f>
        <v/>
      </c>
      <c r="L5">
        <f>COUNTIFS('Test Cases'!$B$2:$B$284,$A5,'Test Cases'!$O$2:$O$284,"Pass")</f>
        <v/>
      </c>
      <c r="M5">
        <f>COUNTIFS('Test Cases'!$B$2:$B$284,$A5,'Test Cases'!$O$2:$O$284,"Fail")</f>
        <v/>
      </c>
      <c r="N5">
        <f>COUNTIFS('Test Cases'!$B$2:$B$284,$A5,'Test Cases'!$O$2:$O$284,"Not Run")</f>
        <v/>
      </c>
    </row>
    <row r="6">
      <c r="A6" t="inlineStr">
        <is>
          <t>Documents</t>
        </is>
      </c>
      <c r="B6">
        <f>COUNTIF('Test Cases'!$B$2:$B$284,$A6)</f>
        <v/>
      </c>
      <c r="C6">
        <f>COUNTIFS('Test Cases'!$B$2:$B$284,$A6,'Test Cases'!$I$2:$I$284,"P1")</f>
        <v/>
      </c>
      <c r="D6">
        <f>COUNTIFS('Test Cases'!$B$2:$B$284,$A6,'Test Cases'!$K$2:$K$284,"Automated - UI")</f>
        <v/>
      </c>
      <c r="E6">
        <f>COUNTIFS('Test Cases'!$B$2:$B$284,$A6,'Test Cases'!$K$2:$K$284,"Automated - UI (fixture)")</f>
        <v/>
      </c>
      <c r="F6">
        <f>COUNTIFS('Test Cases'!$B$2:$B$284,$A6,'Test Cases'!$K$2:$K$284,"Automated - API")</f>
        <v/>
      </c>
      <c r="G6">
        <f>COUNTIFS('Test Cases'!$B$2:$B$284,$A6,'Test Cases'!$K$2:$K$284,"Manual - External")</f>
        <v/>
      </c>
      <c r="H6">
        <f>COUNTIFS('Test Cases'!$B$2:$B$284,$A6,'Test Cases'!$K$2:$K$284,"Manual - Scheduled job")</f>
        <v/>
      </c>
      <c r="I6">
        <f>COUNTIFS('Test Cases'!$B$2:$B$284,$A6,'Test Cases'!$K$2:$K$284,"Manual - Exploratory")</f>
        <v/>
      </c>
      <c r="J6">
        <f>D6+E6+F6</f>
        <v/>
      </c>
      <c r="K6" s="6">
        <f>IF(B6=0,0,J6/B6)</f>
        <v/>
      </c>
      <c r="L6">
        <f>COUNTIFS('Test Cases'!$B$2:$B$284,$A6,'Test Cases'!$O$2:$O$284,"Pass")</f>
        <v/>
      </c>
      <c r="M6">
        <f>COUNTIFS('Test Cases'!$B$2:$B$284,$A6,'Test Cases'!$O$2:$O$284,"Fail")</f>
        <v/>
      </c>
      <c r="N6">
        <f>COUNTIFS('Test Cases'!$B$2:$B$284,$A6,'Test Cases'!$O$2:$O$284,"Not Run")</f>
        <v/>
      </c>
    </row>
    <row r="7">
      <c r="A7" t="inlineStr">
        <is>
          <t>Offer &amp; Closure</t>
        </is>
      </c>
      <c r="B7">
        <f>COUNTIF('Test Cases'!$B$2:$B$284,$A7)</f>
        <v/>
      </c>
      <c r="C7">
        <f>COUNTIFS('Test Cases'!$B$2:$B$284,$A7,'Test Cases'!$I$2:$I$284,"P1")</f>
        <v/>
      </c>
      <c r="D7">
        <f>COUNTIFS('Test Cases'!$B$2:$B$284,$A7,'Test Cases'!$K$2:$K$284,"Automated - UI")</f>
        <v/>
      </c>
      <c r="E7">
        <f>COUNTIFS('Test Cases'!$B$2:$B$284,$A7,'Test Cases'!$K$2:$K$284,"Automated - UI (fixture)")</f>
        <v/>
      </c>
      <c r="F7">
        <f>COUNTIFS('Test Cases'!$B$2:$B$284,$A7,'Test Cases'!$K$2:$K$284,"Automated - API")</f>
        <v/>
      </c>
      <c r="G7">
        <f>COUNTIFS('Test Cases'!$B$2:$B$284,$A7,'Test Cases'!$K$2:$K$284,"Manual - External")</f>
        <v/>
      </c>
      <c r="H7">
        <f>COUNTIFS('Test Cases'!$B$2:$B$284,$A7,'Test Cases'!$K$2:$K$284,"Manual - Scheduled job")</f>
        <v/>
      </c>
      <c r="I7">
        <f>COUNTIFS('Test Cases'!$B$2:$B$284,$A7,'Test Cases'!$K$2:$K$284,"Manual - Exploratory")</f>
        <v/>
      </c>
      <c r="J7">
        <f>D7+E7+F7</f>
        <v/>
      </c>
      <c r="K7" s="6">
        <f>IF(B7=0,0,J7/B7)</f>
        <v/>
      </c>
      <c r="L7">
        <f>COUNTIFS('Test Cases'!$B$2:$B$284,$A7,'Test Cases'!$O$2:$O$284,"Pass")</f>
        <v/>
      </c>
      <c r="M7">
        <f>COUNTIFS('Test Cases'!$B$2:$B$284,$A7,'Test Cases'!$O$2:$O$284,"Fail")</f>
        <v/>
      </c>
      <c r="N7">
        <f>COUNTIFS('Test Cases'!$B$2:$B$284,$A7,'Test Cases'!$O$2:$O$284,"Not Run")</f>
        <v/>
      </c>
    </row>
    <row r="8">
      <c r="A8" t="inlineStr">
        <is>
          <t>Authentication &amp; Access</t>
        </is>
      </c>
      <c r="B8">
        <f>COUNTIF('Test Cases'!$B$2:$B$284,$A8)</f>
        <v/>
      </c>
      <c r="C8">
        <f>COUNTIFS('Test Cases'!$B$2:$B$284,$A8,'Test Cases'!$I$2:$I$284,"P1")</f>
        <v/>
      </c>
      <c r="D8">
        <f>COUNTIFS('Test Cases'!$B$2:$B$284,$A8,'Test Cases'!$K$2:$K$284,"Automated - UI")</f>
        <v/>
      </c>
      <c r="E8">
        <f>COUNTIFS('Test Cases'!$B$2:$B$284,$A8,'Test Cases'!$K$2:$K$284,"Automated - UI (fixture)")</f>
        <v/>
      </c>
      <c r="F8">
        <f>COUNTIFS('Test Cases'!$B$2:$B$284,$A8,'Test Cases'!$K$2:$K$284,"Automated - API")</f>
        <v/>
      </c>
      <c r="G8">
        <f>COUNTIFS('Test Cases'!$B$2:$B$284,$A8,'Test Cases'!$K$2:$K$284,"Manual - External")</f>
        <v/>
      </c>
      <c r="H8">
        <f>COUNTIFS('Test Cases'!$B$2:$B$284,$A8,'Test Cases'!$K$2:$K$284,"Manual - Scheduled job")</f>
        <v/>
      </c>
      <c r="I8">
        <f>COUNTIFS('Test Cases'!$B$2:$B$284,$A8,'Test Cases'!$K$2:$K$284,"Manual - Exploratory")</f>
        <v/>
      </c>
      <c r="J8">
        <f>D8+E8+F8</f>
        <v/>
      </c>
      <c r="K8" s="6">
        <f>IF(B8=0,0,J8/B8)</f>
        <v/>
      </c>
      <c r="L8">
        <f>COUNTIFS('Test Cases'!$B$2:$B$284,$A8,'Test Cases'!$O$2:$O$284,"Pass")</f>
        <v/>
      </c>
      <c r="M8">
        <f>COUNTIFS('Test Cases'!$B$2:$B$284,$A8,'Test Cases'!$O$2:$O$284,"Fail")</f>
        <v/>
      </c>
      <c r="N8">
        <f>COUNTIFS('Test Cases'!$B$2:$B$284,$A8,'Test Cases'!$O$2:$O$284,"Not Run")</f>
        <v/>
      </c>
    </row>
    <row r="9">
      <c r="A9" t="inlineStr">
        <is>
          <t>Admin Portal</t>
        </is>
      </c>
      <c r="B9">
        <f>COUNTIF('Test Cases'!$B$2:$B$284,$A9)</f>
        <v/>
      </c>
      <c r="C9">
        <f>COUNTIFS('Test Cases'!$B$2:$B$284,$A9,'Test Cases'!$I$2:$I$284,"P1")</f>
        <v/>
      </c>
      <c r="D9">
        <f>COUNTIFS('Test Cases'!$B$2:$B$284,$A9,'Test Cases'!$K$2:$K$284,"Automated - UI")</f>
        <v/>
      </c>
      <c r="E9">
        <f>COUNTIFS('Test Cases'!$B$2:$B$284,$A9,'Test Cases'!$K$2:$K$284,"Automated - UI (fixture)")</f>
        <v/>
      </c>
      <c r="F9">
        <f>COUNTIFS('Test Cases'!$B$2:$B$284,$A9,'Test Cases'!$K$2:$K$284,"Automated - API")</f>
        <v/>
      </c>
      <c r="G9">
        <f>COUNTIFS('Test Cases'!$B$2:$B$284,$A9,'Test Cases'!$K$2:$K$284,"Manual - External")</f>
        <v/>
      </c>
      <c r="H9">
        <f>COUNTIFS('Test Cases'!$B$2:$B$284,$A9,'Test Cases'!$K$2:$K$284,"Manual - Scheduled job")</f>
        <v/>
      </c>
      <c r="I9">
        <f>COUNTIFS('Test Cases'!$B$2:$B$284,$A9,'Test Cases'!$K$2:$K$284,"Manual - Exploratory")</f>
        <v/>
      </c>
      <c r="J9">
        <f>D9+E9+F9</f>
        <v/>
      </c>
      <c r="K9" s="6">
        <f>IF(B9=0,0,J9/B9)</f>
        <v/>
      </c>
      <c r="L9">
        <f>COUNTIFS('Test Cases'!$B$2:$B$284,$A9,'Test Cases'!$O$2:$O$284,"Pass")</f>
        <v/>
      </c>
      <c r="M9">
        <f>COUNTIFS('Test Cases'!$B$2:$B$284,$A9,'Test Cases'!$O$2:$O$284,"Fail")</f>
        <v/>
      </c>
      <c r="N9">
        <f>COUNTIFS('Test Cases'!$B$2:$B$284,$A9,'Test Cases'!$O$2:$O$284,"Not Run")</f>
        <v/>
      </c>
    </row>
    <row r="10">
      <c r="A10" t="inlineStr">
        <is>
          <t>Dashboard &amp; Notifications</t>
        </is>
      </c>
      <c r="B10">
        <f>COUNTIF('Test Cases'!$B$2:$B$284,$A10)</f>
        <v/>
      </c>
      <c r="C10">
        <f>COUNTIFS('Test Cases'!$B$2:$B$284,$A10,'Test Cases'!$I$2:$I$284,"P1")</f>
        <v/>
      </c>
      <c r="D10">
        <f>COUNTIFS('Test Cases'!$B$2:$B$284,$A10,'Test Cases'!$K$2:$K$284,"Automated - UI")</f>
        <v/>
      </c>
      <c r="E10">
        <f>COUNTIFS('Test Cases'!$B$2:$B$284,$A10,'Test Cases'!$K$2:$K$284,"Automated - UI (fixture)")</f>
        <v/>
      </c>
      <c r="F10">
        <f>COUNTIFS('Test Cases'!$B$2:$B$284,$A10,'Test Cases'!$K$2:$K$284,"Automated - API")</f>
        <v/>
      </c>
      <c r="G10">
        <f>COUNTIFS('Test Cases'!$B$2:$B$284,$A10,'Test Cases'!$K$2:$K$284,"Manual - External")</f>
        <v/>
      </c>
      <c r="H10">
        <f>COUNTIFS('Test Cases'!$B$2:$B$284,$A10,'Test Cases'!$K$2:$K$284,"Manual - Scheduled job")</f>
        <v/>
      </c>
      <c r="I10">
        <f>COUNTIFS('Test Cases'!$B$2:$B$284,$A10,'Test Cases'!$K$2:$K$284,"Manual - Exploratory")</f>
        <v/>
      </c>
      <c r="J10">
        <f>D10+E10+F10</f>
        <v/>
      </c>
      <c r="K10" s="6">
        <f>IF(B10=0,0,J10/B10)</f>
        <v/>
      </c>
      <c r="L10">
        <f>COUNTIFS('Test Cases'!$B$2:$B$284,$A10,'Test Cases'!$O$2:$O$284,"Pass")</f>
        <v/>
      </c>
      <c r="M10">
        <f>COUNTIFS('Test Cases'!$B$2:$B$284,$A10,'Test Cases'!$O$2:$O$284,"Fail")</f>
        <v/>
      </c>
      <c r="N10">
        <f>COUNTIFS('Test Cases'!$B$2:$B$284,$A10,'Test Cases'!$O$2:$O$284,"Not Run")</f>
        <v/>
      </c>
    </row>
    <row r="11">
      <c r="A11" t="inlineStr">
        <is>
          <t>MRF</t>
        </is>
      </c>
      <c r="B11">
        <f>COUNTIF('Test Cases'!$B$2:$B$284,$A11)</f>
        <v/>
      </c>
      <c r="C11">
        <f>COUNTIFS('Test Cases'!$B$2:$B$284,$A11,'Test Cases'!$I$2:$I$284,"P1")</f>
        <v/>
      </c>
      <c r="D11">
        <f>COUNTIFS('Test Cases'!$B$2:$B$284,$A11,'Test Cases'!$K$2:$K$284,"Automated - UI")</f>
        <v/>
      </c>
      <c r="E11">
        <f>COUNTIFS('Test Cases'!$B$2:$B$284,$A11,'Test Cases'!$K$2:$K$284,"Automated - UI (fixture)")</f>
        <v/>
      </c>
      <c r="F11">
        <f>COUNTIFS('Test Cases'!$B$2:$B$284,$A11,'Test Cases'!$K$2:$K$284,"Automated - API")</f>
        <v/>
      </c>
      <c r="G11">
        <f>COUNTIFS('Test Cases'!$B$2:$B$284,$A11,'Test Cases'!$K$2:$K$284,"Manual - External")</f>
        <v/>
      </c>
      <c r="H11">
        <f>COUNTIFS('Test Cases'!$B$2:$B$284,$A11,'Test Cases'!$K$2:$K$284,"Manual - Scheduled job")</f>
        <v/>
      </c>
      <c r="I11">
        <f>COUNTIFS('Test Cases'!$B$2:$B$284,$A11,'Test Cases'!$K$2:$K$284,"Manual - Exploratory")</f>
        <v/>
      </c>
      <c r="J11">
        <f>D11+E11+F11</f>
        <v/>
      </c>
      <c r="K11" s="6">
        <f>IF(B11=0,0,J11/B11)</f>
        <v/>
      </c>
      <c r="L11">
        <f>COUNTIFS('Test Cases'!$B$2:$B$284,$A11,'Test Cases'!$O$2:$O$284,"Pass")</f>
        <v/>
      </c>
      <c r="M11">
        <f>COUNTIFS('Test Cases'!$B$2:$B$284,$A11,'Test Cases'!$O$2:$O$284,"Fail")</f>
        <v/>
      </c>
      <c r="N11">
        <f>COUNTIFS('Test Cases'!$B$2:$B$284,$A11,'Test Cases'!$O$2:$O$284,"Not Run")</f>
        <v/>
      </c>
    </row>
    <row r="12">
      <c r="A12" t="inlineStr">
        <is>
          <t>Vendor</t>
        </is>
      </c>
      <c r="B12">
        <f>COUNTIF('Test Cases'!$B$2:$B$284,$A12)</f>
        <v/>
      </c>
      <c r="C12">
        <f>COUNTIFS('Test Cases'!$B$2:$B$284,$A12,'Test Cases'!$I$2:$I$284,"P1")</f>
        <v/>
      </c>
      <c r="D12">
        <f>COUNTIFS('Test Cases'!$B$2:$B$284,$A12,'Test Cases'!$K$2:$K$284,"Automated - UI")</f>
        <v/>
      </c>
      <c r="E12">
        <f>COUNTIFS('Test Cases'!$B$2:$B$284,$A12,'Test Cases'!$K$2:$K$284,"Automated - UI (fixture)")</f>
        <v/>
      </c>
      <c r="F12">
        <f>COUNTIFS('Test Cases'!$B$2:$B$284,$A12,'Test Cases'!$K$2:$K$284,"Automated - API")</f>
        <v/>
      </c>
      <c r="G12">
        <f>COUNTIFS('Test Cases'!$B$2:$B$284,$A12,'Test Cases'!$K$2:$K$284,"Manual - External")</f>
        <v/>
      </c>
      <c r="H12">
        <f>COUNTIFS('Test Cases'!$B$2:$B$284,$A12,'Test Cases'!$K$2:$K$284,"Manual - Scheduled job")</f>
        <v/>
      </c>
      <c r="I12">
        <f>COUNTIFS('Test Cases'!$B$2:$B$284,$A12,'Test Cases'!$K$2:$K$284,"Manual - Exploratory")</f>
        <v/>
      </c>
      <c r="J12">
        <f>D12+E12+F12</f>
        <v/>
      </c>
      <c r="K12" s="6">
        <f>IF(B12=0,0,J12/B12)</f>
        <v/>
      </c>
      <c r="L12">
        <f>COUNTIFS('Test Cases'!$B$2:$B$284,$A12,'Test Cases'!$O$2:$O$284,"Pass")</f>
        <v/>
      </c>
      <c r="M12">
        <f>COUNTIFS('Test Cases'!$B$2:$B$284,$A12,'Test Cases'!$O$2:$O$284,"Fail")</f>
        <v/>
      </c>
      <c r="N12">
        <f>COUNTIFS('Test Cases'!$B$2:$B$284,$A12,'Test Cases'!$O$2:$O$284,"Not Run")</f>
        <v/>
      </c>
    </row>
    <row r="13">
      <c r="A13" t="inlineStr">
        <is>
          <t>Recruitment Analytics</t>
        </is>
      </c>
      <c r="B13">
        <f>COUNTIF('Test Cases'!$B$2:$B$284,$A13)</f>
        <v/>
      </c>
      <c r="C13">
        <f>COUNTIFS('Test Cases'!$B$2:$B$284,$A13,'Test Cases'!$I$2:$I$284,"P1")</f>
        <v/>
      </c>
      <c r="D13">
        <f>COUNTIFS('Test Cases'!$B$2:$B$284,$A13,'Test Cases'!$K$2:$K$284,"Automated - UI")</f>
        <v/>
      </c>
      <c r="E13">
        <f>COUNTIFS('Test Cases'!$B$2:$B$284,$A13,'Test Cases'!$K$2:$K$284,"Automated - UI (fixture)")</f>
        <v/>
      </c>
      <c r="F13">
        <f>COUNTIFS('Test Cases'!$B$2:$B$284,$A13,'Test Cases'!$K$2:$K$284,"Automated - API")</f>
        <v/>
      </c>
      <c r="G13">
        <f>COUNTIFS('Test Cases'!$B$2:$B$284,$A13,'Test Cases'!$K$2:$K$284,"Manual - External")</f>
        <v/>
      </c>
      <c r="H13">
        <f>COUNTIFS('Test Cases'!$B$2:$B$284,$A13,'Test Cases'!$K$2:$K$284,"Manual - Scheduled job")</f>
        <v/>
      </c>
      <c r="I13">
        <f>COUNTIFS('Test Cases'!$B$2:$B$284,$A13,'Test Cases'!$K$2:$K$284,"Manual - Exploratory")</f>
        <v/>
      </c>
      <c r="J13">
        <f>D13+E13+F13</f>
        <v/>
      </c>
      <c r="K13" s="6">
        <f>IF(B13=0,0,J13/B13)</f>
        <v/>
      </c>
      <c r="L13">
        <f>COUNTIFS('Test Cases'!$B$2:$B$284,$A13,'Test Cases'!$O$2:$O$284,"Pass")</f>
        <v/>
      </c>
      <c r="M13">
        <f>COUNTIFS('Test Cases'!$B$2:$B$284,$A13,'Test Cases'!$O$2:$O$284,"Fail")</f>
        <v/>
      </c>
      <c r="N13">
        <f>COUNTIFS('Test Cases'!$B$2:$B$284,$A13,'Test Cases'!$O$2:$O$284,"Not Run")</f>
        <v/>
      </c>
    </row>
    <row r="14">
      <c r="A14" t="inlineStr">
        <is>
          <t>Search Candidate</t>
        </is>
      </c>
      <c r="B14">
        <f>COUNTIF('Test Cases'!$B$2:$B$284,$A14)</f>
        <v/>
      </c>
      <c r="C14">
        <f>COUNTIFS('Test Cases'!$B$2:$B$284,$A14,'Test Cases'!$I$2:$I$284,"P1")</f>
        <v/>
      </c>
      <c r="D14">
        <f>COUNTIFS('Test Cases'!$B$2:$B$284,$A14,'Test Cases'!$K$2:$K$284,"Automated - UI")</f>
        <v/>
      </c>
      <c r="E14">
        <f>COUNTIFS('Test Cases'!$B$2:$B$284,$A14,'Test Cases'!$K$2:$K$284,"Automated - UI (fixture)")</f>
        <v/>
      </c>
      <c r="F14">
        <f>COUNTIFS('Test Cases'!$B$2:$B$284,$A14,'Test Cases'!$K$2:$K$284,"Automated - API")</f>
        <v/>
      </c>
      <c r="G14">
        <f>COUNTIFS('Test Cases'!$B$2:$B$284,$A14,'Test Cases'!$K$2:$K$284,"Manual - External")</f>
        <v/>
      </c>
      <c r="H14">
        <f>COUNTIFS('Test Cases'!$B$2:$B$284,$A14,'Test Cases'!$K$2:$K$284,"Manual - Scheduled job")</f>
        <v/>
      </c>
      <c r="I14">
        <f>COUNTIFS('Test Cases'!$B$2:$B$284,$A14,'Test Cases'!$K$2:$K$284,"Manual - Exploratory")</f>
        <v/>
      </c>
      <c r="J14">
        <f>D14+E14+F14</f>
        <v/>
      </c>
      <c r="K14" s="6">
        <f>IF(B14=0,0,J14/B14)</f>
        <v/>
      </c>
      <c r="L14">
        <f>COUNTIFS('Test Cases'!$B$2:$B$284,$A14,'Test Cases'!$O$2:$O$284,"Pass")</f>
        <v/>
      </c>
      <c r="M14">
        <f>COUNTIFS('Test Cases'!$B$2:$B$284,$A14,'Test Cases'!$O$2:$O$284,"Fail")</f>
        <v/>
      </c>
      <c r="N14">
        <f>COUNTIFS('Test Cases'!$B$2:$B$284,$A14,'Test Cases'!$O$2:$O$284,"Not Run")</f>
        <v/>
      </c>
    </row>
    <row r="15">
      <c r="A15" t="inlineStr">
        <is>
          <t>Interviewer Scorecard</t>
        </is>
      </c>
      <c r="B15">
        <f>COUNTIF('Test Cases'!$B$2:$B$284,$A15)</f>
        <v/>
      </c>
      <c r="C15">
        <f>COUNTIFS('Test Cases'!$B$2:$B$284,$A15,'Test Cases'!$I$2:$I$284,"P1")</f>
        <v/>
      </c>
      <c r="D15">
        <f>COUNTIFS('Test Cases'!$B$2:$B$284,$A15,'Test Cases'!$K$2:$K$284,"Automated - UI")</f>
        <v/>
      </c>
      <c r="E15">
        <f>COUNTIFS('Test Cases'!$B$2:$B$284,$A15,'Test Cases'!$K$2:$K$284,"Automated - UI (fixture)")</f>
        <v/>
      </c>
      <c r="F15">
        <f>COUNTIFS('Test Cases'!$B$2:$B$284,$A15,'Test Cases'!$K$2:$K$284,"Automated - API")</f>
        <v/>
      </c>
      <c r="G15">
        <f>COUNTIFS('Test Cases'!$B$2:$B$284,$A15,'Test Cases'!$K$2:$K$284,"Manual - External")</f>
        <v/>
      </c>
      <c r="H15">
        <f>COUNTIFS('Test Cases'!$B$2:$B$284,$A15,'Test Cases'!$K$2:$K$284,"Manual - Scheduled job")</f>
        <v/>
      </c>
      <c r="I15">
        <f>COUNTIFS('Test Cases'!$B$2:$B$284,$A15,'Test Cases'!$K$2:$K$284,"Manual - Exploratory")</f>
        <v/>
      </c>
      <c r="J15">
        <f>D15+E15+F15</f>
        <v/>
      </c>
      <c r="K15" s="6">
        <f>IF(B15=0,0,J15/B15)</f>
        <v/>
      </c>
      <c r="L15">
        <f>COUNTIFS('Test Cases'!$B$2:$B$284,$A15,'Test Cases'!$O$2:$O$284,"Pass")</f>
        <v/>
      </c>
      <c r="M15">
        <f>COUNTIFS('Test Cases'!$B$2:$B$284,$A15,'Test Cases'!$O$2:$O$284,"Fail")</f>
        <v/>
      </c>
      <c r="N15">
        <f>COUNTIFS('Test Cases'!$B$2:$B$284,$A15,'Test Cases'!$O$2:$O$284,"Not Run")</f>
        <v/>
      </c>
    </row>
    <row r="16">
      <c r="A16" t="inlineStr">
        <is>
          <t>Candidate Missing Data</t>
        </is>
      </c>
      <c r="B16">
        <f>COUNTIF('Test Cases'!$B$2:$B$284,$A16)</f>
        <v/>
      </c>
      <c r="C16">
        <f>COUNTIFS('Test Cases'!$B$2:$B$284,$A16,'Test Cases'!$I$2:$I$284,"P1")</f>
        <v/>
      </c>
      <c r="D16">
        <f>COUNTIFS('Test Cases'!$B$2:$B$284,$A16,'Test Cases'!$K$2:$K$284,"Automated - UI")</f>
        <v/>
      </c>
      <c r="E16">
        <f>COUNTIFS('Test Cases'!$B$2:$B$284,$A16,'Test Cases'!$K$2:$K$284,"Automated - UI (fixture)")</f>
        <v/>
      </c>
      <c r="F16">
        <f>COUNTIFS('Test Cases'!$B$2:$B$284,$A16,'Test Cases'!$K$2:$K$284,"Automated - API")</f>
        <v/>
      </c>
      <c r="G16">
        <f>COUNTIFS('Test Cases'!$B$2:$B$284,$A16,'Test Cases'!$K$2:$K$284,"Manual - External")</f>
        <v/>
      </c>
      <c r="H16">
        <f>COUNTIFS('Test Cases'!$B$2:$B$284,$A16,'Test Cases'!$K$2:$K$284,"Manual - Scheduled job")</f>
        <v/>
      </c>
      <c r="I16">
        <f>COUNTIFS('Test Cases'!$B$2:$B$284,$A16,'Test Cases'!$K$2:$K$284,"Manual - Exploratory")</f>
        <v/>
      </c>
      <c r="J16">
        <f>D16+E16+F16</f>
        <v/>
      </c>
      <c r="K16" s="6">
        <f>IF(B16=0,0,J16/B16)</f>
        <v/>
      </c>
      <c r="L16">
        <f>COUNTIFS('Test Cases'!$B$2:$B$284,$A16,'Test Cases'!$O$2:$O$284,"Pass")</f>
        <v/>
      </c>
      <c r="M16">
        <f>COUNTIFS('Test Cases'!$B$2:$B$284,$A16,'Test Cases'!$O$2:$O$284,"Fail")</f>
        <v/>
      </c>
      <c r="N16">
        <f>COUNTIFS('Test Cases'!$B$2:$B$284,$A16,'Test Cases'!$O$2:$O$284,"Not Run")</f>
        <v/>
      </c>
    </row>
    <row r="17">
      <c r="A17" t="inlineStr">
        <is>
          <t>Email Templates</t>
        </is>
      </c>
      <c r="B17">
        <f>COUNTIF('Test Cases'!$B$2:$B$284,$A17)</f>
        <v/>
      </c>
      <c r="C17">
        <f>COUNTIFS('Test Cases'!$B$2:$B$284,$A17,'Test Cases'!$I$2:$I$284,"P1")</f>
        <v/>
      </c>
      <c r="D17">
        <f>COUNTIFS('Test Cases'!$B$2:$B$284,$A17,'Test Cases'!$K$2:$K$284,"Automated - UI")</f>
        <v/>
      </c>
      <c r="E17">
        <f>COUNTIFS('Test Cases'!$B$2:$B$284,$A17,'Test Cases'!$K$2:$K$284,"Automated - UI (fixture)")</f>
        <v/>
      </c>
      <c r="F17">
        <f>COUNTIFS('Test Cases'!$B$2:$B$284,$A17,'Test Cases'!$K$2:$K$284,"Automated - API")</f>
        <v/>
      </c>
      <c r="G17">
        <f>COUNTIFS('Test Cases'!$B$2:$B$284,$A17,'Test Cases'!$K$2:$K$284,"Manual - External")</f>
        <v/>
      </c>
      <c r="H17">
        <f>COUNTIFS('Test Cases'!$B$2:$B$284,$A17,'Test Cases'!$K$2:$K$284,"Manual - Scheduled job")</f>
        <v/>
      </c>
      <c r="I17">
        <f>COUNTIFS('Test Cases'!$B$2:$B$284,$A17,'Test Cases'!$K$2:$K$284,"Manual - Exploratory")</f>
        <v/>
      </c>
      <c r="J17">
        <f>D17+E17+F17</f>
        <v/>
      </c>
      <c r="K17" s="6">
        <f>IF(B17=0,0,J17/B17)</f>
        <v/>
      </c>
      <c r="L17">
        <f>COUNTIFS('Test Cases'!$B$2:$B$284,$A17,'Test Cases'!$O$2:$O$284,"Pass")</f>
        <v/>
      </c>
      <c r="M17">
        <f>COUNTIFS('Test Cases'!$B$2:$B$284,$A17,'Test Cases'!$O$2:$O$284,"Fail")</f>
        <v/>
      </c>
      <c r="N17">
        <f>COUNTIFS('Test Cases'!$B$2:$B$284,$A17,'Test Cases'!$O$2:$O$284,"Not Run")</f>
        <v/>
      </c>
    </row>
    <row r="18">
      <c r="A18" t="inlineStr">
        <is>
          <t>Settings &amp; Configuration</t>
        </is>
      </c>
      <c r="B18">
        <f>COUNTIF('Test Cases'!$B$2:$B$284,$A18)</f>
        <v/>
      </c>
      <c r="C18">
        <f>COUNTIFS('Test Cases'!$B$2:$B$284,$A18,'Test Cases'!$I$2:$I$284,"P1")</f>
        <v/>
      </c>
      <c r="D18">
        <f>COUNTIFS('Test Cases'!$B$2:$B$284,$A18,'Test Cases'!$K$2:$K$284,"Automated - UI")</f>
        <v/>
      </c>
      <c r="E18">
        <f>COUNTIFS('Test Cases'!$B$2:$B$284,$A18,'Test Cases'!$K$2:$K$284,"Automated - UI (fixture)")</f>
        <v/>
      </c>
      <c r="F18">
        <f>COUNTIFS('Test Cases'!$B$2:$B$284,$A18,'Test Cases'!$K$2:$K$284,"Automated - API")</f>
        <v/>
      </c>
      <c r="G18">
        <f>COUNTIFS('Test Cases'!$B$2:$B$284,$A18,'Test Cases'!$K$2:$K$284,"Manual - External")</f>
        <v/>
      </c>
      <c r="H18">
        <f>COUNTIFS('Test Cases'!$B$2:$B$284,$A18,'Test Cases'!$K$2:$K$284,"Manual - Scheduled job")</f>
        <v/>
      </c>
      <c r="I18">
        <f>COUNTIFS('Test Cases'!$B$2:$B$284,$A18,'Test Cases'!$K$2:$K$284,"Manual - Exploratory")</f>
        <v/>
      </c>
      <c r="J18">
        <f>D18+E18+F18</f>
        <v/>
      </c>
      <c r="K18" s="6">
        <f>IF(B18=0,0,J18/B18)</f>
        <v/>
      </c>
      <c r="L18">
        <f>COUNTIFS('Test Cases'!$B$2:$B$284,$A18,'Test Cases'!$O$2:$O$284,"Pass")</f>
        <v/>
      </c>
      <c r="M18">
        <f>COUNTIFS('Test Cases'!$B$2:$B$284,$A18,'Test Cases'!$O$2:$O$284,"Fail")</f>
        <v/>
      </c>
      <c r="N18">
        <f>COUNTIFS('Test Cases'!$B$2:$B$284,$A18,'Test Cases'!$O$2:$O$284,"Not Run")</f>
        <v/>
      </c>
    </row>
    <row r="19">
      <c r="A19" s="7" t="inlineStr">
        <is>
          <t>Total</t>
        </is>
      </c>
      <c r="B19" s="7">
        <f>SUM(B2:B18)</f>
        <v/>
      </c>
      <c r="C19" s="7">
        <f>SUM(C2:C18)</f>
        <v/>
      </c>
      <c r="D19" s="7">
        <f>SUM(D2:D18)</f>
        <v/>
      </c>
      <c r="E19" s="7">
        <f>SUM(E2:E18)</f>
        <v/>
      </c>
      <c r="F19" s="7">
        <f>SUM(F2:F18)</f>
        <v/>
      </c>
      <c r="G19" s="7">
        <f>SUM(G2:G18)</f>
        <v/>
      </c>
      <c r="H19" s="7">
        <f>SUM(H2:H18)</f>
        <v/>
      </c>
      <c r="I19" s="7">
        <f>SUM(I2:I18)</f>
        <v/>
      </c>
      <c r="J19" s="7">
        <f>SUM(J2:J18)</f>
        <v/>
      </c>
      <c r="K19" s="8">
        <f>IF(B19=0,0,J19/B19)</f>
        <v/>
      </c>
      <c r="L19" s="7">
        <f>SUM(L2:L18)</f>
        <v/>
      </c>
      <c r="M19" s="7">
        <f>SUM(M2:M18)</f>
        <v/>
      </c>
      <c r="N19" s="7">
        <f>SUM(N2:N18)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22" customWidth="1" min="1" max="1"/>
    <col width="50" customWidth="1" min="2" max="2"/>
    <col width="110" customWidth="1" min="3" max="3"/>
  </cols>
  <sheetData>
    <row r="1">
      <c r="A1" s="9" t="inlineStr">
        <is>
          <t>TC ID</t>
        </is>
      </c>
      <c r="B1" s="9" t="inlineStr">
        <is>
          <t>What changed</t>
        </is>
      </c>
      <c r="C1" s="9" t="inlineStr">
        <is>
          <t>Why</t>
        </is>
      </c>
    </row>
    <row r="2">
      <c r="A2" s="3" t="inlineStr">
        <is>
          <t>HRU-01</t>
        </is>
      </c>
      <c r="B2" s="3" t="inlineStr">
        <is>
          <t>Remark added</t>
        </is>
      </c>
      <c r="C2" s="3" t="inlineStr">
        <is>
          <t>Total Experience defect fixed in CHANGES-2026-08-07 #19. Re-test with a CV using 'Jun-2022 - Present', then Search Candidate &gt; View Details.</t>
        </is>
      </c>
    </row>
    <row r="3">
      <c r="A3" s="3" t="inlineStr">
        <is>
          <t>HRU-02</t>
        </is>
      </c>
      <c r="B3" s="3" t="inlineStr">
        <is>
          <t>Remark added</t>
        </is>
      </c>
      <c r="C3" s="3" t="inlineStr">
        <is>
          <t>Scenario title says 'exceeding max count/size' but steps/expected describe a multi-file success. Re-word before next run. Total Experience fix: #19.</t>
        </is>
      </c>
    </row>
    <row r="4">
      <c r="A4" s="3" t="inlineStr">
        <is>
          <t>HRU-06</t>
        </is>
      </c>
      <c r="B4" s="3" t="inlineStr">
        <is>
          <t>Remark added</t>
        </is>
      </c>
      <c r="C4" s="3" t="inlineStr">
        <is>
          <t>Never executed (no Actual Result in the 2026-08-11 pass).</t>
        </is>
      </c>
    </row>
    <row r="5">
      <c r="A5" s="3" t="inlineStr">
        <is>
          <t>HRU-07</t>
        </is>
      </c>
      <c r="B5" s="3" t="inlineStr">
        <is>
          <t>Remark added</t>
        </is>
      </c>
      <c r="C5" s="3" t="inlineStr">
        <is>
          <t>Never executed. Missing-data link also exercised by MJD-01..04.</t>
        </is>
      </c>
    </row>
    <row r="6">
      <c r="A6" s="3" t="inlineStr">
        <is>
          <t>HRU-08</t>
        </is>
      </c>
      <c r="B6" s="3" t="inlineStr">
        <is>
          <t>Remark added</t>
        </is>
      </c>
      <c r="C6" s="3" t="inlineStr">
        <is>
          <t>Never executed.</t>
        </is>
      </c>
    </row>
    <row r="7">
      <c r="A7" s="3" t="inlineStr">
        <is>
          <t>HRU-09</t>
        </is>
      </c>
      <c r="B7" s="3" t="inlineStr">
        <is>
          <t>Updated: automation</t>
        </is>
      </c>
      <c r="C7" s="3" t="inlineStr">
        <is>
          <t>Never executed. Live socket update itself is automatable once a job can be produced without the AI parser.</t>
        </is>
      </c>
    </row>
    <row r="8">
      <c r="A8" s="3" t="inlineStr">
        <is>
          <t>SCR-05</t>
        </is>
      </c>
      <c r="B8" s="3" t="inlineStr">
        <is>
          <t>Remark added</t>
        </is>
      </c>
      <c r="C8" s="3" t="inlineStr">
        <is>
          <t>Validation itself is client-side; only reaching the result list needs AI search.</t>
        </is>
      </c>
    </row>
    <row r="9">
      <c r="A9" s="3" t="inlineStr">
        <is>
          <t>CPIPE-01</t>
        </is>
      </c>
      <c r="B9" s="3" t="inlineStr">
        <is>
          <t>Updated: pre</t>
        </is>
      </c>
      <c r="C9" s="3" t="inlineStr"/>
    </row>
    <row r="10">
      <c r="A10" s="3" t="inlineStr">
        <is>
          <t>CPIPE-02</t>
        </is>
      </c>
      <c r="B10" s="3" t="inlineStr">
        <is>
          <t>Updated: pre</t>
        </is>
      </c>
      <c r="C10" s="3" t="inlineStr"/>
    </row>
    <row r="11">
      <c r="A11" s="3" t="inlineStr">
        <is>
          <t>ZHR-04</t>
        </is>
      </c>
      <c r="B11" s="3" t="inlineStr">
        <is>
          <t>Updated: expected</t>
        </is>
      </c>
      <c r="C11" s="3" t="inlineStr">
        <is>
          <t>Expected result clarified (was 'As it's Optional').</t>
        </is>
      </c>
    </row>
    <row r="12">
      <c r="A12" s="3" t="inlineStr">
        <is>
          <t>ZHR-05</t>
        </is>
      </c>
      <c r="B12" s="3" t="inlineStr">
        <is>
          <t>Updated: automation</t>
        </is>
      </c>
      <c r="C12" s="3" t="inlineStr"/>
    </row>
    <row r="13">
      <c r="A13" s="3" t="inlineStr">
        <is>
          <t>ZHR-06</t>
        </is>
      </c>
      <c r="B13" s="3" t="inlineStr">
        <is>
          <t>Updated: automation</t>
        </is>
      </c>
      <c r="C13" s="3" t="inlineStr">
        <is>
          <t>Never executed.</t>
        </is>
      </c>
    </row>
    <row r="14">
      <c r="A14" s="3" t="inlineStr">
        <is>
          <t>OUT-01</t>
        </is>
      </c>
      <c r="B14" s="3" t="inlineStr">
        <is>
          <t>Remark added</t>
        </is>
      </c>
      <c r="C14" s="3" t="inlineStr">
        <is>
          <t>Locally the 'Emails in this round' log reads 'failed' (no Graph). Inbox delivery is a manual check on staging.</t>
        </is>
      </c>
    </row>
    <row r="15">
      <c r="A15" s="3" t="inlineStr">
        <is>
          <t>ASM-02</t>
        </is>
      </c>
      <c r="B15" s="3" t="inlineStr">
        <is>
          <t>Updated: automation</t>
        </is>
      </c>
      <c r="C15" s="3" t="inlineStr">
        <is>
          <t>Modal + link entry automated; inbox delivery manual.</t>
        </is>
      </c>
    </row>
    <row r="16">
      <c r="A16" s="3" t="inlineStr">
        <is>
          <t>ASM-03</t>
        </is>
      </c>
      <c r="B16" s="3" t="inlineStr">
        <is>
          <t>Updated: automation</t>
        </is>
      </c>
      <c r="C16" s="3" t="inlineStr"/>
    </row>
    <row r="17">
      <c r="A17" s="3" t="inlineStr">
        <is>
          <t>ASM-04</t>
        </is>
      </c>
      <c r="B17" s="3" t="inlineStr">
        <is>
          <t>Updated: scenario, steps, expected, automation</t>
        </is>
      </c>
      <c r="C17" s="3" t="inlineStr">
        <is>
          <t>Steps/expected expanded from 'Upload csv manually'. Test data: docs/*TestReport*.csv.</t>
        </is>
      </c>
    </row>
    <row r="18">
      <c r="A18" s="3" t="inlineStr">
        <is>
          <t>ZFN-02</t>
        </is>
      </c>
      <c r="B18" s="3" t="inlineStr">
        <is>
          <t>Updated: scenario, steps, expected, automation</t>
        </is>
      </c>
      <c r="C18" s="3" t="inlineStr">
        <is>
          <t>Original row had no steps/expected.</t>
        </is>
      </c>
    </row>
    <row r="19">
      <c r="A19" s="3" t="inlineStr">
        <is>
          <t>T1-03</t>
        </is>
      </c>
      <c r="B19" s="3" t="inlineStr">
        <is>
          <t>Updated: type</t>
        </is>
      </c>
      <c r="C19" s="3" t="inlineStr"/>
    </row>
    <row r="20">
      <c r="A20" s="3" t="inlineStr">
        <is>
          <t>T1-07</t>
        </is>
      </c>
      <c r="B20" s="3" t="inlineStr">
        <is>
          <t>Remark added</t>
        </is>
      </c>
      <c r="C20" s="3" t="inlineStr">
        <is>
          <t>Preview text must already show 'Hi &lt;interviewer name&gt;,' (fix #20).</t>
        </is>
      </c>
    </row>
    <row r="21">
      <c r="A21" s="3" t="inlineStr">
        <is>
          <t>T1-08</t>
        </is>
      </c>
      <c r="B21" s="3" t="inlineStr">
        <is>
          <t>Updated: automation</t>
        </is>
      </c>
      <c r="C21" s="3" t="inlineStr"/>
    </row>
    <row r="22">
      <c r="A22" s="3" t="inlineStr">
        <is>
          <t>T1-09</t>
        </is>
      </c>
      <c r="B22" s="3" t="inlineStr">
        <is>
          <t>Updated: automation</t>
        </is>
      </c>
      <c r="C22" s="3" t="inlineStr">
        <is>
          <t>Interviewer-name defect fixed in CHANGES-2026-08-07 #20; needs re-run of prisma/seed-email-templates.js.</t>
        </is>
      </c>
    </row>
    <row r="23">
      <c r="A23" s="3" t="inlineStr">
        <is>
          <t>T1-10</t>
        </is>
      </c>
      <c r="B23" s="3" t="inlineStr">
        <is>
          <t>Updated: pre</t>
        </is>
      </c>
      <c r="C23" s="3" t="inlineStr"/>
    </row>
    <row r="24">
      <c r="A24" s="3" t="inlineStr">
        <is>
          <t>T1-11</t>
        </is>
      </c>
      <c r="B24" s="3" t="inlineStr">
        <is>
          <t>Updated: steps</t>
        </is>
      </c>
      <c r="C24" s="3" t="inlineStr"/>
    </row>
    <row r="25">
      <c r="A25" s="3" t="inlineStr">
        <is>
          <t>T1-12</t>
        </is>
      </c>
      <c r="B25" s="3" t="inlineStr">
        <is>
          <t>Updated: expected, type</t>
        </is>
      </c>
      <c r="C25" s="3" t="inlineStr">
        <is>
          <t>Open 'Verify' item resolved from code.</t>
        </is>
      </c>
    </row>
    <row r="26">
      <c r="A26" s="3" t="inlineStr">
        <is>
          <t>T1-13</t>
        </is>
      </c>
      <c r="B26" s="3" t="inlineStr">
        <is>
          <t>Updated: expected, type</t>
        </is>
      </c>
      <c r="C26" s="3" t="inlineStr">
        <is>
          <t>Open 'Verify' item resolved from code.</t>
        </is>
      </c>
    </row>
    <row r="27">
      <c r="A27" s="3" t="inlineStr">
        <is>
          <t>T1-15</t>
        </is>
      </c>
      <c r="B27" s="3" t="inlineStr">
        <is>
          <t>Updated: automation</t>
        </is>
      </c>
      <c r="C27" s="3" t="inlineStr">
        <is>
          <t>Open product question - confirm with RT whether outcome before interview is intended.</t>
        </is>
      </c>
    </row>
    <row r="28">
      <c r="A28" s="3" t="inlineStr">
        <is>
          <t>T2-02</t>
        </is>
      </c>
      <c r="B28" s="3" t="inlineStr">
        <is>
          <t>Remark added</t>
        </is>
      </c>
      <c r="C28" s="3" t="inlineStr">
        <is>
          <t>Covered by repeating T1-02..T1-15 on Technical Round 2.</t>
        </is>
      </c>
    </row>
    <row r="29">
      <c r="A29" s="3" t="inlineStr">
        <is>
          <t>T3-02</t>
        </is>
      </c>
      <c r="B29" s="3" t="inlineStr">
        <is>
          <t>Remark added</t>
        </is>
      </c>
      <c r="C29" s="3" t="inlineStr">
        <is>
          <t>Covered by repeating T1-02..T1-15 on Technical Round 3.</t>
        </is>
      </c>
    </row>
    <row r="30">
      <c r="A30" s="3" t="inlineStr">
        <is>
          <t>T3-03</t>
        </is>
      </c>
      <c r="B30" s="3" t="inlineStr">
        <is>
          <t>Updated: expected</t>
        </is>
      </c>
      <c r="C30" s="3" t="inlineStr">
        <is>
          <t>Expected result was a copy of the steps; corrected.</t>
        </is>
      </c>
    </row>
    <row r="31">
      <c r="A31" s="3" t="inlineStr">
        <is>
          <t>T3-08</t>
        </is>
      </c>
      <c r="B31" s="3" t="inlineStr">
        <is>
          <t>Updated: steps, expected</t>
        </is>
      </c>
      <c r="C31" s="3" t="inlineStr">
        <is>
          <t>Skip control now exists in the drawer UI.</t>
        </is>
      </c>
    </row>
    <row r="32">
      <c r="A32" s="3" t="inlineStr">
        <is>
          <t>CLI-07</t>
        </is>
      </c>
      <c r="B32" s="3" t="inlineStr">
        <is>
          <t>Updated: steps, expected</t>
        </is>
      </c>
      <c r="C32" s="3" t="inlineStr">
        <is>
          <t>Skip control now exists in the drawer UI.</t>
        </is>
      </c>
    </row>
    <row r="33">
      <c r="A33" s="3" t="inlineStr">
        <is>
          <t>DOC-02</t>
        </is>
      </c>
      <c r="B33" s="3" t="inlineStr">
        <is>
          <t>Updated: steps, expected</t>
        </is>
      </c>
      <c r="C33" s="3" t="inlineStr">
        <is>
          <t>Inbox delivery is manual; request creation automated.</t>
        </is>
      </c>
    </row>
    <row r="34">
      <c r="A34" s="3" t="inlineStr">
        <is>
          <t>OFR-01</t>
        </is>
      </c>
      <c r="B34" s="3" t="inlineStr">
        <is>
          <t>Updated: expected</t>
        </is>
      </c>
      <c r="C34" s="3" t="inlineStr">
        <is>
          <t>Offer stage became record-only on 2026-08-25 (CHANGES-2026-08-25-client-round-and-offer-mark-only.md). Approve/Reject/Hold no longer exist on Offer.</t>
        </is>
      </c>
    </row>
    <row r="35">
      <c r="A35" s="3" t="inlineStr">
        <is>
          <t>OFR-02</t>
        </is>
      </c>
      <c r="B35" s="3" t="inlineStr">
        <is>
          <t>Updated: scenario, steps, expected</t>
        </is>
      </c>
      <c r="C35" s="3" t="inlineStr">
        <is>
          <t>Offer stage became record-only on 2026-08-25 (CHANGES-2026-08-25-client-round-and-offer-mark-only.md). Approve/Reject/Hold no longer exist on Offer.</t>
        </is>
      </c>
    </row>
    <row r="36">
      <c r="A36" s="3" t="inlineStr">
        <is>
          <t>OFR-03</t>
        </is>
      </c>
      <c r="B36" s="3" t="inlineStr">
        <is>
          <t>Updated: scenario, steps, expected, type</t>
        </is>
      </c>
      <c r="C36" s="3" t="inlineStr">
        <is>
          <t>Offer stage became record-only on 2026-08-25 (CHANGES-2026-08-25-client-round-and-offer-mark-only.md). Approve/Reject/Hold no longer exist on Offer.</t>
        </is>
      </c>
    </row>
    <row r="37">
      <c r="A37" s="3" t="inlineStr">
        <is>
          <t>OFR-04</t>
        </is>
      </c>
      <c r="B37" s="3" t="inlineStr">
        <is>
          <t>Updated: scenario, steps, expected, type</t>
        </is>
      </c>
      <c r="C37" s="3" t="inlineStr">
        <is>
          <t>Offer stage became record-only on 2026-08-25 (CHANGES-2026-08-25-client-round-and-offer-mark-only.md). Approve/Reject/Hold no longer exist on Offer.</t>
        </is>
      </c>
    </row>
    <row r="38">
      <c r="A38" s="3" t="inlineStr">
        <is>
          <t>OFR-05</t>
        </is>
      </c>
      <c r="B38" s="3" t="inlineStr">
        <is>
          <t>Updated: scenario, steps, expected</t>
        </is>
      </c>
      <c r="C38" s="3" t="inlineStr">
        <is>
          <t>Offer stage became record-only on 2026-08-25 (CHANGES-2026-08-25-client-round-and-offer-mark-only.md). Approve/Reject/Hold no longer exist on Offer.</t>
        </is>
      </c>
    </row>
    <row r="39">
      <c r="A39" s="3" t="inlineStr">
        <is>
          <t>OFR-06</t>
        </is>
      </c>
      <c r="B39" s="3" t="inlineStr">
        <is>
          <t>Updated: scenario, steps, expected, type</t>
        </is>
      </c>
      <c r="C39" s="3" t="inlineStr">
        <is>
          <t>Offer stage became record-only on 2026-08-25 (CHANGES-2026-08-25-client-round-and-offer-mark-only.md). Approve/Reject/Hold no longer exist on Offer.</t>
        </is>
      </c>
    </row>
    <row r="40">
      <c r="A40" s="3" t="n"/>
      <c r="B40" s="3" t="n"/>
      <c r="C40" s="3" t="n"/>
    </row>
    <row r="41">
      <c r="A41" s="3" t="inlineStr">
        <is>
          <t>Feedback (2026-08-11)</t>
        </is>
      </c>
      <c r="B41" s="3" t="inlineStr">
        <is>
          <t>Interviewer name in scheduled email</t>
        </is>
      </c>
      <c r="C41" s="3" t="inlineStr">
        <is>
          <t>Fixed - CHANGES-2026-08-07 #20 (re-test T1-07/T1-09)</t>
        </is>
      </c>
    </row>
    <row r="42">
      <c r="A42" s="3" t="inlineStr">
        <is>
          <t>Feedback (2026-08-11)</t>
        </is>
      </c>
      <c r="B42" s="3" t="inlineStr">
        <is>
          <t>Submit button on document upload</t>
        </is>
      </c>
      <c r="C42" s="3" t="inlineStr">
        <is>
          <t>Already present; acknowledgement added - #21 (now DOC-11)</t>
        </is>
      </c>
    </row>
    <row r="43">
      <c r="A43" s="3" t="inlineStr">
        <is>
          <t>Feedback (2026-08-11)</t>
        </is>
      </c>
      <c r="B43" s="3" t="inlineStr">
        <is>
          <t>Automatic document reminders</t>
        </is>
      </c>
      <c r="C43" s="3" t="inlineStr">
        <is>
          <t>Already present (daily 09:00, after 2 days, max 3) - #22 (now DOC-17)</t>
        </is>
      </c>
    </row>
    <row r="44">
      <c r="A44" s="3" t="n"/>
      <c r="B44" s="3" t="n"/>
      <c r="C44" s="3" t="n"/>
    </row>
    <row r="45">
      <c r="A45" s="3" t="inlineStr">
        <is>
          <t>New modules</t>
        </is>
      </c>
      <c r="B45" s="3" t="inlineStr">
        <is>
          <t>Admin Portal, Authentication &amp; Access, Candidate Missing Data, Candidate Pipeline, Dashboard &amp; Notifications, Documents, Email Templates, HR Manual Upload, Interviewer Scorecard, MRF, Offer &amp; Closure, Recruitment Analytics, Search Candidate, Settings &amp; Configuration, Vendor</t>
        </is>
      </c>
      <c r="C45" s="3" t="inlineStr">
        <is>
          <t>Not covered by the previous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2026-10-13T04:02:22Z</dcterms:created>
  <dcterms:modified xmlns:dcterms="http://purl.org/dc/terms/" xmlns:xsi="http://www.w3.org/2001/XMLSchema-instance" xsi:type="dcterms:W3CDTF">2026-10-13T04:02:23Z</dcterms:modified>
</cp:coreProperties>
</file>